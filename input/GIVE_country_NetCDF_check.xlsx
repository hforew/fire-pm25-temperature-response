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williams/Documents/GitHub/Ford_BA_FPM25/input/"/>
    </mc:Choice>
  </mc:AlternateContent>
  <xr:revisionPtr revIDLastSave="0" documentId="13_ncr:9_{EC4F9632-A81F-1C4E-9602-71C2B61AAAAD}" xr6:coauthVersionLast="47" xr6:coauthVersionMax="47" xr10:uidLastSave="{00000000-0000-0000-0000-000000000000}"/>
  <bookViews>
    <workbookView xWindow="14140" yWindow="3320" windowWidth="27640" windowHeight="16940" xr2:uid="{A350B6AD-DE4D-C745-A9CB-0A16AB413C6F}"/>
  </bookViews>
  <sheets>
    <sheet name="GIVE_countries" sheetId="1" r:id="rId1"/>
    <sheet name="shape_file_country" sheetId="2" r:id="rId2"/>
  </sheets>
  <definedNames>
    <definedName name="_xlnm._FilterDatabase" localSheetId="0" hidden="1">GIVE_countries!$A$1:$C$185</definedName>
    <definedName name="_xlnm._FilterDatabase" localSheetId="1" hidden="1">shape_file_country!$A$2:$B$198</definedName>
  </definedNames>
  <calcPr calcId="0"/>
</workbook>
</file>

<file path=xl/calcChain.xml><?xml version="1.0" encoding="utf-8"?>
<calcChain xmlns="http://schemas.openxmlformats.org/spreadsheetml/2006/main">
  <c r="C25" i="1" l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9" i="1"/>
  <c r="C20" i="1"/>
  <c r="C21" i="1"/>
  <c r="C22" i="1"/>
  <c r="C23" i="1"/>
  <c r="C24" i="1"/>
  <c r="C2" i="1"/>
</calcChain>
</file>

<file path=xl/sharedStrings.xml><?xml version="1.0" encoding="utf-8"?>
<sst xmlns="http://schemas.openxmlformats.org/spreadsheetml/2006/main" count="761" uniqueCount="434">
  <si>
    <t>ISO3</t>
  </si>
  <si>
    <t>country</t>
  </si>
  <si>
    <t>ABW</t>
  </si>
  <si>
    <t>Aruba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</si>
  <si>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</si>
  <si>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</si>
  <si>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</si>
  <si>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</si>
  <si>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</si>
  <si>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</si>
  <si>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</si>
  <si>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</si>
  <si>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</si>
  <si>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</si>
  <si>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</si>
  <si>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</si>
  <si>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</si>
  <si>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</si>
  <si>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</si>
  <si>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</si>
  <si>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</si>
  <si>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</si>
  <si>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</si>
  <si>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</si>
  <si>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</si>
  <si>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</si>
  <si>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</si>
  <si>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</si>
  <si>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</si>
  <si>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</si>
  <si>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</si>
  <si>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</si>
  <si>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</si>
  <si>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</si>
  <si>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</si>
  <si>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</si>
  <si>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</si>
  <si>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</si>
  <si>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</si>
  <si>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</si>
  <si>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</si>
  <si>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</si>
  <si>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</si>
  <si>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</si>
  <si>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</si>
  <si>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</si>
  <si>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</si>
  <si>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</si>
  <si>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</si>
  <si>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</si>
  <si>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</si>
  <si>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</si>
  <si>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</si>
  <si>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</si>
  <si>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</si>
  <si>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</si>
  <si>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</si>
  <si>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</si>
  <si>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</si>
  <si>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</si>
  <si>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</si>
  <si>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</si>
  <si>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</si>
  <si>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</si>
  <si>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</si>
  <si>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</si>
  <si>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</si>
  <si>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</si>
  <si>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</si>
  <si>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</si>
  <si>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</si>
  <si>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</si>
  <si>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</si>
  <si>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</si>
  <si>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</si>
  <si>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</si>
  <si>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</si>
  <si>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</si>
  <si>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</si>
  <si>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</si>
  <si>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</si>
  <si>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</si>
  <si>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</si>
  <si>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</si>
  <si>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</si>
  <si>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</si>
  <si>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</si>
  <si>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</si>
  <si>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</si>
  <si>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</si>
  <si>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</si>
  <si>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</si>
  <si>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</si>
  <si>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</si>
  <si>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</si>
  <si>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</si>
  <si>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</si>
  <si>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</si>
  <si>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</si>
  <si>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</si>
  <si>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</si>
  <si>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</si>
  <si>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</si>
  <si>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</si>
  <si>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</si>
  <si>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</si>
  <si>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</si>
  <si>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</si>
  <si>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</si>
  <si>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</si>
  <si>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</si>
  <si>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</si>
  <si>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</si>
  <si>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</si>
  <si>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</si>
  <si>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</si>
  <si>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</si>
  <si>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</si>
  <si>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</si>
  <si>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</si>
  <si>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</si>
  <si>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</si>
  <si>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</si>
  <si>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</si>
  <si>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</si>
  <si>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</si>
  <si>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</si>
  <si>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</si>
  <si>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</si>
  <si>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</si>
  <si>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</si>
  <si>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</si>
  <si>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</si>
  <si>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</si>
  <si>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</si>
  <si>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</si>
  <si>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</si>
  <si>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</si>
  <si>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</si>
  <si>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</si>
  <si>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</si>
  <si>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</si>
  <si>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</si>
  <si>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</si>
  <si>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</si>
  <si>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</si>
  <si>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</si>
  <si>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</si>
  <si>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</si>
  <si>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</si>
  <si>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</si>
  <si>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</si>
  <si>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</si>
  <si>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</si>
  <si>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</si>
  <si>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</si>
  <si>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</si>
  <si>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</si>
  <si>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</si>
  <si>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</si>
  <si>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</si>
  <si>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</si>
  <si>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</si>
  <si>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</si>
  <si>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</si>
  <si>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</si>
  <si>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</si>
  <si>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</si>
  <si>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</si>
  <si>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</si>
  <si>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</si>
  <si>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</si>
  <si>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</si>
  <si>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</si>
  <si>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</si>
  <si>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</si>
  <si>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</si>
  <si>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</si>
  <si>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</si>
  <si>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</si>
  <si>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</si>
  <si>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</si>
  <si>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</si>
  <si>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</si>
  <si>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</si>
  <si>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</si>
  <si>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</si>
  <si>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</si>
  <si>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</si>
  <si>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</si>
  <si>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</si>
  <si>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</si>
  <si>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</si>
  <si>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</si>
  <si>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</si>
  <si>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</si>
  <si>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</si>
  <si>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</si>
  <si>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</si>
  <si>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</si>
  <si>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</si>
  <si>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</si>
  <si>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</si>
  <si>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</si>
  <si>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</si>
  <si>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</si>
  <si>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</si>
  <si>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</si>
  <si>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</si>
  <si>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</si>
  <si>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</si>
  <si>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</si>
  <si>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</si>
  <si>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</si>
  <si>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MKD</t>
  </si>
  <si>
    <t>Macedonia, the former Yugoslav Republic of</t>
  </si>
  <si>
    <t>MLI</t>
  </si>
  <si>
    <t>Mali</t>
  </si>
  <si>
    <t>MLT</t>
  </si>
  <si>
    <t>Malta</t>
  </si>
  <si>
    <t>MMR</t>
  </si>
  <si>
    <t>Burma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</si>
  <si>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</si>
  <si>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</si>
  <si>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</si>
  <si>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</si>
  <si>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</si>
  <si>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</si>
  <si>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</si>
  <si>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</si>
  <si>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</si>
  <si>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</si>
  <si>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</si>
  <si>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</si>
  <si>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</si>
  <si>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</si>
  <si>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</si>
  <si>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</si>
  <si>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</si>
  <si>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</si>
  <si>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</si>
  <si>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</si>
  <si>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</si>
  <si>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</si>
  <si>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</si>
  <si>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</si>
  <si>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</si>
  <si>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</si>
  <si>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</si>
  <si>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</si>
  <si>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</si>
  <si>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</si>
  <si>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</si>
  <si>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</si>
  <si>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</si>
  <si>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</si>
  <si>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</si>
  <si>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</si>
  <si>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</si>
  <si>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</si>
  <si>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</si>
  <si>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</si>
  <si>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</si>
  <si>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</si>
  <si>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</si>
  <si>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</si>
  <si>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</si>
  <si>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</si>
  <si>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</si>
  <si>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</si>
  <si>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</si>
  <si>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</si>
  <si>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</si>
  <si>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</si>
  <si>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</si>
  <si>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Palestinian Territory, Occupied</t>
  </si>
  <si>
    <t>PYF</t>
  </si>
  <si>
    <t>French Polynesia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</si>
  <si>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</si>
  <si>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</si>
  <si>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</si>
  <si>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</si>
  <si>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</si>
  <si>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</si>
  <si>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</si>
  <si>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</si>
  <si>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</si>
  <si>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</si>
  <si>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</si>
  <si>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</si>
  <si>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</si>
  <si>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</si>
  <si>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</si>
  <si>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</si>
  <si>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</si>
  <si>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</si>
  <si>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</si>
  <si>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</si>
  <si>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</si>
  <si>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</si>
  <si>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</si>
  <si>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</si>
  <si>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</si>
  <si>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</si>
  <si>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</si>
  <si>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</si>
  <si>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</si>
  <si>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</si>
  <si>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</si>
  <si>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</si>
  <si>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</si>
  <si>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</si>
  <si>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</si>
  <si>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</si>
  <si>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</si>
  <si>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</si>
  <si>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</si>
  <si>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</si>
  <si>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</si>
  <si>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</si>
  <si>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</si>
  <si>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</si>
  <si>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</si>
  <si>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</si>
  <si>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</si>
  <si>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</si>
  <si>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</si>
  <si>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</si>
  <si>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</si>
  <si>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</si>
  <si>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</si>
  <si>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</si>
  <si>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</si>
  <si>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</si>
  <si>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</si>
  <si>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</si>
  <si>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</si>
  <si>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</si>
  <si>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</si>
  <si>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</si>
  <si>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</si>
  <si>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Tanzania, United Republic of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</si>
  <si>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</si>
  <si>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</si>
  <si>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</si>
  <si>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</si>
  <si>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</si>
  <si>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</si>
  <si>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</si>
  <si>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</si>
  <si>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</si>
  <si>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</si>
  <si>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</si>
  <si>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&amp; the Grenadines</t>
  </si>
  <si>
    <t>VEN</t>
  </si>
  <si>
    <t>Venezuela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</si>
  <si>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</si>
  <si>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</si>
  <si>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</si>
  <si>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</si>
  <si>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</si>
  <si>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</si>
  <si>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</si>
  <si>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</si>
  <si>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</si>
  <si>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</si>
  <si>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</si>
  <si>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</si>
  <si>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</si>
  <si>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</si>
  <si>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country_code_iso3</t>
  </si>
  <si>
    <t>country_name</t>
  </si>
  <si>
    <t>ATA</t>
  </si>
  <si>
    <t>Antarctica</t>
  </si>
  <si>
    <t>NA</t>
  </si>
  <si>
    <t>SGS</t>
  </si>
  <si>
    <t>S. Geo. and the Is.</t>
  </si>
  <si>
    <t>FLK</t>
  </si>
  <si>
    <t>Falkland Is.</t>
  </si>
  <si>
    <t>ATF</t>
  </si>
  <si>
    <t>Fr. S. Antarctic Lands</t>
  </si>
  <si>
    <t>eSwatini</t>
  </si>
  <si>
    <t>COK</t>
  </si>
  <si>
    <t>Cook Is.</t>
  </si>
  <si>
    <t>Fr. Polynesia</t>
  </si>
  <si>
    <t>Dem. Rep. Congo</t>
  </si>
  <si>
    <t>Tanzania</t>
  </si>
  <si>
    <t>Solomon Is.</t>
  </si>
  <si>
    <t>S√£o Tom√© and Principe</t>
  </si>
  <si>
    <t>Eq. Guinea</t>
  </si>
  <si>
    <t>KIR</t>
  </si>
  <si>
    <t>Kiribati</t>
  </si>
  <si>
    <t>Central African Rep.</t>
  </si>
  <si>
    <t>SSD</t>
  </si>
  <si>
    <t>S. Sudan</t>
  </si>
  <si>
    <t>C√¥te d'Ivoire</t>
  </si>
  <si>
    <t>Somaliland</t>
  </si>
  <si>
    <t>Vietnam</t>
  </si>
  <si>
    <t>Myanmar</t>
  </si>
  <si>
    <t>St. Vin. and Gren.</t>
  </si>
  <si>
    <t>Laos</t>
  </si>
  <si>
    <t>Cabo Verde</t>
  </si>
  <si>
    <t>VIR</t>
  </si>
  <si>
    <t>U.S. Virgin Is.</t>
  </si>
  <si>
    <t>Dominican Rep.</t>
  </si>
  <si>
    <t>United States of America</t>
  </si>
  <si>
    <t>CYM</t>
  </si>
  <si>
    <t>Cayman Is.</t>
  </si>
  <si>
    <t>ESH</t>
  </si>
  <si>
    <t>W. Sahara</t>
  </si>
  <si>
    <t>Bir Tawil</t>
  </si>
  <si>
    <t>Iran</t>
  </si>
  <si>
    <t>Palestine</t>
  </si>
  <si>
    <t>Syria</t>
  </si>
  <si>
    <t>South Korea</t>
  </si>
  <si>
    <t>N. Cyprus</t>
  </si>
  <si>
    <t>Siachen Glacier</t>
  </si>
  <si>
    <t>PRK</t>
  </si>
  <si>
    <t>North Korea</t>
  </si>
  <si>
    <t>North Macedonia</t>
  </si>
  <si>
    <t>Kosovo</t>
  </si>
  <si>
    <t>Bosnia and Herz.</t>
  </si>
  <si>
    <t>Moldova</t>
  </si>
  <si>
    <t>Baikonur</t>
  </si>
  <si>
    <t>Czechia</t>
  </si>
  <si>
    <t>GRL</t>
  </si>
  <si>
    <t>Greenland</t>
  </si>
  <si>
    <t>ALA</t>
  </si>
  <si>
    <t>√Öland</t>
  </si>
  <si>
    <t>FRO</t>
  </si>
  <si>
    <t>Faeroe Is.</t>
  </si>
  <si>
    <t xml:space="preserve">Country codes associated with lat/lon point of NetCDF file. Country data from command ne_countries(scale = 10, returnclass = "sf") </t>
  </si>
  <si>
    <t>NetCDF_shape_file_mapping</t>
  </si>
  <si>
    <t>This country and other N/A NOT mapped. Will need to apply global averages within GIVE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</si>
</sst>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B24F-2770-3040-88A4-23B0B2FD6EC8}">
  <dimension ref="A1:D185"/>
  <sheetViews>
    <sheetView tabSelected="1" workbookViewId="0">
      <selection activeCell="D17" sqref="D17"/>
    </sheetView>
  </sheetViews>
  <sheetFormatPr baseColWidth="10" defaultRowHeight="16" x14ac:dyDescent="0.2"/>
  <cols>
    <col min="3" max="3" width="24.83203125" bestFit="1" customWidth="1"/>
  </cols>
  <sheetData>
    <row r="1" spans="1:4" x14ac:dyDescent="0.2">
      <c r="A1" t="s">
        <v>0</v>
      </c>
      <c r="B1" t="s">
        <v>1</v>
      </c>
      <c r="C1" t="s">
        <v>432</v>
      </c>
    </row>
    <row r="2" spans="1:4" x14ac:dyDescent="0.2">
      <c r="A2" t="s">
        <v>2</v>
      </c>
      <c r="B2" t="s">
        <v>3</v>
      </c>
      <c r="C2" t="e">
        <f>VLOOKUP(A2,shape_file_country!$A$3:$B$198,2,FALSE)</f>
        <v>#N/A</v>
      </c>
      <c r="D2" s="1" t="s">
        <v>433</v>
      </c>
    </row>
    <row r="3" spans="1:4" x14ac:dyDescent="0.2">
      <c r="A3" t="s">
        <v>4</v>
      </c>
      <c r="B3" t="s">
        <v>5</v>
      </c>
      <c r="C3" t="str">
        <f>VLOOKUP(A3,shape_file_country!$A$3:$B$198,2,FALSE)</f>
        <v>Afghanistan</v>
      </c>
    </row>
    <row r="4" spans="1:4" x14ac:dyDescent="0.2">
      <c r="A4" t="s">
        <v>6</v>
      </c>
      <c r="B4" t="s">
        <v>7</v>
      </c>
      <c r="C4" t="str">
        <f>VLOOKUP(A4,shape_file_country!$A$3:$B$198,2,FALSE)</f>
        <v>Angola</v>
      </c>
    </row>
    <row r="5" spans="1:4" x14ac:dyDescent="0.2">
      <c r="A5" t="s">
        <v>8</v>
      </c>
      <c r="B5" t="s">
        <v>9</v>
      </c>
      <c r="C5" t="str">
        <f>VLOOKUP(A5,shape_file_country!$A$3:$B$198,2,FALSE)</f>
        <v>Albania</v>
      </c>
    </row>
    <row r="6" spans="1:4" x14ac:dyDescent="0.2">
      <c r="A6" t="s">
        <v>10</v>
      </c>
      <c r="B6" t="s">
        <v>11</v>
      </c>
      <c r="C6" t="str">
        <f>VLOOKUP(A6,shape_file_country!$A$3:$B$198,2,FALSE)</f>
        <v>United Arab Emirates</v>
      </c>
    </row>
    <row r="7" spans="1:4" x14ac:dyDescent="0.2">
      <c r="A7" t="s">
        <v>12</v>
      </c>
      <c r="B7" t="s">
        <v>13</v>
      </c>
      <c r="C7" t="str">
        <f>VLOOKUP(A7,shape_file_country!$A$3:$B$198,2,FALSE)</f>
        <v>Argentina</v>
      </c>
    </row>
    <row r="8" spans="1:4" x14ac:dyDescent="0.2">
      <c r="A8" t="s">
        <v>14</v>
      </c>
      <c r="B8" t="s">
        <v>15</v>
      </c>
      <c r="C8" t="str">
        <f>VLOOKUP(A8,shape_file_country!$A$3:$B$198,2,FALSE)</f>
        <v>Armenia</v>
      </c>
    </row>
    <row r="9" spans="1:4" x14ac:dyDescent="0.2">
      <c r="A9" t="s">
        <v>16</v>
      </c>
      <c r="B9" t="s">
        <v>17</v>
      </c>
      <c r="C9" t="str">
        <f>VLOOKUP(A9,shape_file_country!$A$3:$B$198,2,FALSE)</f>
        <v>Australia</v>
      </c>
    </row>
    <row r="10" spans="1:4" x14ac:dyDescent="0.2">
      <c r="A10" t="s">
        <v>18</v>
      </c>
      <c r="B10" t="s">
        <v>19</v>
      </c>
      <c r="C10" t="str">
        <f>VLOOKUP(A10,shape_file_country!$A$3:$B$198,2,FALSE)</f>
        <v>Austria</v>
      </c>
    </row>
    <row r="11" spans="1:4" x14ac:dyDescent="0.2">
      <c r="A11" t="s">
        <v>20</v>
      </c>
      <c r="B11" t="s">
        <v>21</v>
      </c>
      <c r="C11" t="str">
        <f>VLOOKUP(A11,shape_file_country!$A$3:$B$198,2,FALSE)</f>
        <v>Azerbaijan</v>
      </c>
    </row>
    <row r="12" spans="1:4" x14ac:dyDescent="0.2">
      <c r="A12" t="s">
        <v>22</v>
      </c>
      <c r="B12" t="s">
        <v>23</v>
      </c>
      <c r="C12" t="str">
        <f>VLOOKUP(A12,shape_file_country!$A$3:$B$198,2,FALSE)</f>
        <v>Burundi</v>
      </c>
    </row>
    <row r="13" spans="1:4" x14ac:dyDescent="0.2">
      <c r="A13" t="s">
        <v>24</v>
      </c>
      <c r="B13" t="s">
        <v>25</v>
      </c>
      <c r="C13" t="str">
        <f>VLOOKUP(A13,shape_file_country!$A$3:$B$198,2,FALSE)</f>
        <v>Belgium</v>
      </c>
    </row>
    <row r="14" spans="1:4" x14ac:dyDescent="0.2">
      <c r="A14" t="s">
        <v>26</v>
      </c>
      <c r="B14" t="s">
        <v>27</v>
      </c>
      <c r="C14" t="str">
        <f>VLOOKUP(A14,shape_file_country!$A$3:$B$198,2,FALSE)</f>
        <v>Benin</v>
      </c>
    </row>
    <row r="15" spans="1:4" x14ac:dyDescent="0.2">
      <c r="A15" t="s">
        <v>28</v>
      </c>
      <c r="B15" t="s">
        <v>29</v>
      </c>
      <c r="C15" t="str">
        <f>VLOOKUP(A15,shape_file_country!$A$3:$B$198,2,FALSE)</f>
        <v>Burkina Faso</v>
      </c>
    </row>
    <row r="16" spans="1:4" x14ac:dyDescent="0.2">
      <c r="A16" t="s">
        <v>30</v>
      </c>
      <c r="B16" t="s">
        <v>31</v>
      </c>
      <c r="C16" t="str">
        <f>VLOOKUP(A16,shape_file_country!$A$3:$B$198,2,FALSE)</f>
        <v>Bangladesh</v>
      </c>
    </row>
    <row r="17" spans="1:3" x14ac:dyDescent="0.2">
      <c r="A17" t="s">
        <v>32</v>
      </c>
      <c r="B17" t="s">
        <v>33</v>
      </c>
      <c r="C17" t="str">
        <f>VLOOKUP(A17,shape_file_country!$A$3:$B$198,2,FALSE)</f>
        <v>Bulgaria</v>
      </c>
    </row>
    <row r="18" spans="1:3" x14ac:dyDescent="0.2">
      <c r="A18" t="s">
        <v>34</v>
      </c>
      <c r="B18" t="s">
        <v>35</v>
      </c>
      <c r="C18" t="e">
        <f>VLOOKUP(A18,shape_file_country!$A$3:$B$198,2,FALSE)</f>
        <v>#N/A</v>
      </c>
    </row>
    <row r="19" spans="1:3" x14ac:dyDescent="0.2">
      <c r="A19" t="s">
        <v>36</v>
      </c>
      <c r="B19" t="s">
        <v>37</v>
      </c>
      <c r="C19" t="str">
        <f>VLOOKUP(A19,shape_file_country!$A$3:$B$198,2,FALSE)</f>
        <v>Bahamas</v>
      </c>
    </row>
    <row r="20" spans="1:3" x14ac:dyDescent="0.2">
      <c r="A20" t="s">
        <v>38</v>
      </c>
      <c r="B20" t="s">
        <v>39</v>
      </c>
      <c r="C20" t="str">
        <f>VLOOKUP(A20,shape_file_country!$A$3:$B$198,2,FALSE)</f>
        <v>Bosnia and Herz.</v>
      </c>
    </row>
    <row r="21" spans="1:3" x14ac:dyDescent="0.2">
      <c r="A21" t="s">
        <v>40</v>
      </c>
      <c r="B21" t="s">
        <v>41</v>
      </c>
      <c r="C21" t="str">
        <f>VLOOKUP(A21,shape_file_country!$A$3:$B$198,2,FALSE)</f>
        <v>Belarus</v>
      </c>
    </row>
    <row r="22" spans="1:3" x14ac:dyDescent="0.2">
      <c r="A22" t="s">
        <v>42</v>
      </c>
      <c r="B22" t="s">
        <v>43</v>
      </c>
      <c r="C22" t="str">
        <f>VLOOKUP(A22,shape_file_country!$A$3:$B$198,2,FALSE)</f>
        <v>Belize</v>
      </c>
    </row>
    <row r="23" spans="1:3" x14ac:dyDescent="0.2">
      <c r="A23" t="s">
        <v>44</v>
      </c>
      <c r="B23" t="s">
        <v>45</v>
      </c>
      <c r="C23" t="str">
        <f>VLOOKUP(A23,shape_file_country!$A$3:$B$198,2,FALSE)</f>
        <v>Bolivia</v>
      </c>
    </row>
    <row r="24" spans="1:3" x14ac:dyDescent="0.2">
      <c r="A24" t="s">
        <v>46</v>
      </c>
      <c r="B24" t="s">
        <v>47</v>
      </c>
      <c r="C24" t="str">
        <f>VLOOKUP(A24,shape_file_country!$A$3:$B$198,2,FALSE)</f>
        <v>Brazil</v>
      </c>
    </row>
    <row r="25" spans="1:3" x14ac:dyDescent="0.2">
      <c r="A25" t="s">
        <v>48</v>
      </c>
      <c r="B25" t="s">
        <v>49</v>
      </c>
      <c r="C25" t="e">
        <f>VLOOKUP(A25,shape_file_country!$A$3:$B$198,2,FALSE)</f>
        <v>#N/A</v>
      </c>
    </row>
    <row r="26" spans="1:3" x14ac:dyDescent="0.2">
      <c r="A26" t="s">
        <v>50</v>
      </c>
      <c r="B26" t="s">
        <v>51</v>
      </c>
      <c r="C26" t="str">
        <f>VLOOKUP(A26,shape_file_country!$A$3:$B$198,2,FALSE)</f>
        <v>Brunei</v>
      </c>
    </row>
    <row r="27" spans="1:3" x14ac:dyDescent="0.2">
      <c r="A27" t="s">
        <v>52</v>
      </c>
      <c r="B27" t="s">
        <v>53</v>
      </c>
      <c r="C27" t="str">
        <f>VLOOKUP(A27,shape_file_country!$A$3:$B$198,2,FALSE)</f>
        <v>Bhutan</v>
      </c>
    </row>
    <row r="28" spans="1:3" x14ac:dyDescent="0.2">
      <c r="A28" t="s">
        <v>54</v>
      </c>
      <c r="B28" t="s">
        <v>55</v>
      </c>
      <c r="C28" t="str">
        <f>VLOOKUP(A28,shape_file_country!$A$3:$B$198,2,FALSE)</f>
        <v>Botswana</v>
      </c>
    </row>
    <row r="29" spans="1:3" x14ac:dyDescent="0.2">
      <c r="A29" t="s">
        <v>56</v>
      </c>
      <c r="B29" t="s">
        <v>57</v>
      </c>
      <c r="C29" t="str">
        <f>VLOOKUP(A29,shape_file_country!$A$3:$B$198,2,FALSE)</f>
        <v>Central African Rep.</v>
      </c>
    </row>
    <row r="30" spans="1:3" x14ac:dyDescent="0.2">
      <c r="A30" t="s">
        <v>58</v>
      </c>
      <c r="B30" t="s">
        <v>59</v>
      </c>
      <c r="C30" t="str">
        <f>VLOOKUP(A30,shape_file_country!$A$3:$B$198,2,FALSE)</f>
        <v>Canada</v>
      </c>
    </row>
    <row r="31" spans="1:3" x14ac:dyDescent="0.2">
      <c r="A31" t="s">
        <v>60</v>
      </c>
      <c r="B31" t="s">
        <v>61</v>
      </c>
      <c r="C31" t="str">
        <f>VLOOKUP(A31,shape_file_country!$A$3:$B$198,2,FALSE)</f>
        <v>Switzerland</v>
      </c>
    </row>
    <row r="32" spans="1:3" x14ac:dyDescent="0.2">
      <c r="A32" t="s">
        <v>62</v>
      </c>
      <c r="B32" t="s">
        <v>63</v>
      </c>
      <c r="C32" t="str">
        <f>VLOOKUP(A32,shape_file_country!$A$3:$B$198,2,FALSE)</f>
        <v>Chile</v>
      </c>
    </row>
    <row r="33" spans="1:3" x14ac:dyDescent="0.2">
      <c r="A33" t="s">
        <v>64</v>
      </c>
      <c r="B33" t="s">
        <v>65</v>
      </c>
      <c r="C33" t="str">
        <f>VLOOKUP(A33,shape_file_country!$A$3:$B$198,2,FALSE)</f>
        <v>China</v>
      </c>
    </row>
    <row r="34" spans="1:3" x14ac:dyDescent="0.2">
      <c r="A34" t="s">
        <v>66</v>
      </c>
      <c r="B34" t="s">
        <v>67</v>
      </c>
      <c r="C34" t="str">
        <f>VLOOKUP(A34,shape_file_country!$A$3:$B$198,2,FALSE)</f>
        <v>C√¥te d'Ivoire</v>
      </c>
    </row>
    <row r="35" spans="1:3" x14ac:dyDescent="0.2">
      <c r="A35" t="s">
        <v>68</v>
      </c>
      <c r="B35" t="s">
        <v>69</v>
      </c>
      <c r="C35" t="str">
        <f>VLOOKUP(A35,shape_file_country!$A$3:$B$198,2,FALSE)</f>
        <v>Cameroon</v>
      </c>
    </row>
    <row r="36" spans="1:3" x14ac:dyDescent="0.2">
      <c r="A36" t="s">
        <v>70</v>
      </c>
      <c r="B36" t="s">
        <v>71</v>
      </c>
      <c r="C36" t="str">
        <f>VLOOKUP(A36,shape_file_country!$A$3:$B$198,2,FALSE)</f>
        <v>Dem. Rep. Congo</v>
      </c>
    </row>
    <row r="37" spans="1:3" x14ac:dyDescent="0.2">
      <c r="A37" t="s">
        <v>72</v>
      </c>
      <c r="B37" t="s">
        <v>73</v>
      </c>
      <c r="C37" t="str">
        <f>VLOOKUP(A37,shape_file_country!$A$3:$B$198,2,FALSE)</f>
        <v>Congo</v>
      </c>
    </row>
    <row r="38" spans="1:3" x14ac:dyDescent="0.2">
      <c r="A38" t="s">
        <v>74</v>
      </c>
      <c r="B38" t="s">
        <v>75</v>
      </c>
      <c r="C38" t="str">
        <f>VLOOKUP(A38,shape_file_country!$A$3:$B$198,2,FALSE)</f>
        <v>Colombia</v>
      </c>
    </row>
    <row r="39" spans="1:3" x14ac:dyDescent="0.2">
      <c r="A39" t="s">
        <v>76</v>
      </c>
      <c r="B39" t="s">
        <v>77</v>
      </c>
      <c r="C39" t="str">
        <f>VLOOKUP(A39,shape_file_country!$A$3:$B$198,2,FALSE)</f>
        <v>Comoros</v>
      </c>
    </row>
    <row r="40" spans="1:3" x14ac:dyDescent="0.2">
      <c r="A40" t="s">
        <v>78</v>
      </c>
      <c r="B40" t="s">
        <v>79</v>
      </c>
      <c r="C40" t="str">
        <f>VLOOKUP(A40,shape_file_country!$A$3:$B$198,2,FALSE)</f>
        <v>Cabo Verde</v>
      </c>
    </row>
    <row r="41" spans="1:3" x14ac:dyDescent="0.2">
      <c r="A41" t="s">
        <v>80</v>
      </c>
      <c r="B41" t="s">
        <v>81</v>
      </c>
      <c r="C41" t="str">
        <f>VLOOKUP(A41,shape_file_country!$A$3:$B$198,2,FALSE)</f>
        <v>Costa Rica</v>
      </c>
    </row>
    <row r="42" spans="1:3" x14ac:dyDescent="0.2">
      <c r="A42" t="s">
        <v>82</v>
      </c>
      <c r="B42" t="s">
        <v>83</v>
      </c>
      <c r="C42" t="str">
        <f>VLOOKUP(A42,shape_file_country!$A$3:$B$198,2,FALSE)</f>
        <v>Cuba</v>
      </c>
    </row>
    <row r="43" spans="1:3" x14ac:dyDescent="0.2">
      <c r="A43" t="s">
        <v>84</v>
      </c>
      <c r="B43" t="s">
        <v>85</v>
      </c>
      <c r="C43" t="str">
        <f>VLOOKUP(A43,shape_file_country!$A$3:$B$198,2,FALSE)</f>
        <v>Cyprus</v>
      </c>
    </row>
    <row r="44" spans="1:3" x14ac:dyDescent="0.2">
      <c r="A44" t="s">
        <v>86</v>
      </c>
      <c r="B44" t="s">
        <v>87</v>
      </c>
      <c r="C44" t="str">
        <f>VLOOKUP(A44,shape_file_country!$A$3:$B$198,2,FALSE)</f>
        <v>Czechia</v>
      </c>
    </row>
    <row r="45" spans="1:3" x14ac:dyDescent="0.2">
      <c r="A45" t="s">
        <v>88</v>
      </c>
      <c r="B45" t="s">
        <v>89</v>
      </c>
      <c r="C45" t="str">
        <f>VLOOKUP(A45,shape_file_country!$A$3:$B$198,2,FALSE)</f>
        <v>Germany</v>
      </c>
    </row>
    <row r="46" spans="1:3" x14ac:dyDescent="0.2">
      <c r="A46" t="s">
        <v>90</v>
      </c>
      <c r="B46" t="s">
        <v>91</v>
      </c>
      <c r="C46" t="str">
        <f>VLOOKUP(A46,shape_file_country!$A$3:$B$198,2,FALSE)</f>
        <v>Djibouti</v>
      </c>
    </row>
    <row r="47" spans="1:3" x14ac:dyDescent="0.2">
      <c r="A47" t="s">
        <v>92</v>
      </c>
      <c r="B47" t="s">
        <v>93</v>
      </c>
      <c r="C47" t="str">
        <f>VLOOKUP(A47,shape_file_country!$A$3:$B$198,2,FALSE)</f>
        <v>Denmark</v>
      </c>
    </row>
    <row r="48" spans="1:3" x14ac:dyDescent="0.2">
      <c r="A48" t="s">
        <v>94</v>
      </c>
      <c r="B48" t="s">
        <v>95</v>
      </c>
      <c r="C48" t="str">
        <f>VLOOKUP(A48,shape_file_country!$A$3:$B$198,2,FALSE)</f>
        <v>Dominican Rep.</v>
      </c>
    </row>
    <row r="49" spans="1:3" x14ac:dyDescent="0.2">
      <c r="A49" t="s">
        <v>96</v>
      </c>
      <c r="B49" t="s">
        <v>97</v>
      </c>
      <c r="C49" t="str">
        <f>VLOOKUP(A49,shape_file_country!$A$3:$B$198,2,FALSE)</f>
        <v>Algeria</v>
      </c>
    </row>
    <row r="50" spans="1:3" x14ac:dyDescent="0.2">
      <c r="A50" t="s">
        <v>98</v>
      </c>
      <c r="B50" t="s">
        <v>99</v>
      </c>
      <c r="C50" t="str">
        <f>VLOOKUP(A50,shape_file_country!$A$3:$B$198,2,FALSE)</f>
        <v>Ecuador</v>
      </c>
    </row>
    <row r="51" spans="1:3" x14ac:dyDescent="0.2">
      <c r="A51" t="s">
        <v>100</v>
      </c>
      <c r="B51" t="s">
        <v>101</v>
      </c>
      <c r="C51" t="str">
        <f>VLOOKUP(A51,shape_file_country!$A$3:$B$198,2,FALSE)</f>
        <v>Egypt</v>
      </c>
    </row>
    <row r="52" spans="1:3" x14ac:dyDescent="0.2">
      <c r="A52" t="s">
        <v>102</v>
      </c>
      <c r="B52" t="s">
        <v>103</v>
      </c>
      <c r="C52" t="str">
        <f>VLOOKUP(A52,shape_file_country!$A$3:$B$198,2,FALSE)</f>
        <v>Eritrea</v>
      </c>
    </row>
    <row r="53" spans="1:3" x14ac:dyDescent="0.2">
      <c r="A53" t="s">
        <v>104</v>
      </c>
      <c r="B53" t="s">
        <v>105</v>
      </c>
      <c r="C53" t="str">
        <f>VLOOKUP(A53,shape_file_country!$A$3:$B$198,2,FALSE)</f>
        <v>Spain</v>
      </c>
    </row>
    <row r="54" spans="1:3" x14ac:dyDescent="0.2">
      <c r="A54" t="s">
        <v>106</v>
      </c>
      <c r="B54" t="s">
        <v>107</v>
      </c>
      <c r="C54" t="str">
        <f>VLOOKUP(A54,shape_file_country!$A$3:$B$198,2,FALSE)</f>
        <v>Estonia</v>
      </c>
    </row>
    <row r="55" spans="1:3" x14ac:dyDescent="0.2">
      <c r="A55" t="s">
        <v>108</v>
      </c>
      <c r="B55" t="s">
        <v>109</v>
      </c>
      <c r="C55" t="str">
        <f>VLOOKUP(A55,shape_file_country!$A$3:$B$198,2,FALSE)</f>
        <v>Ethiopia</v>
      </c>
    </row>
    <row r="56" spans="1:3" x14ac:dyDescent="0.2">
      <c r="A56" t="s">
        <v>110</v>
      </c>
      <c r="B56" t="s">
        <v>111</v>
      </c>
      <c r="C56" t="str">
        <f>VLOOKUP(A56,shape_file_country!$A$3:$B$198,2,FALSE)</f>
        <v>Finland</v>
      </c>
    </row>
    <row r="57" spans="1:3" x14ac:dyDescent="0.2">
      <c r="A57" t="s">
        <v>112</v>
      </c>
      <c r="B57" t="s">
        <v>113</v>
      </c>
      <c r="C57" t="str">
        <f>VLOOKUP(A57,shape_file_country!$A$3:$B$198,2,FALSE)</f>
        <v>Fiji</v>
      </c>
    </row>
    <row r="58" spans="1:3" x14ac:dyDescent="0.2">
      <c r="A58" t="s">
        <v>114</v>
      </c>
      <c r="B58" t="s">
        <v>115</v>
      </c>
      <c r="C58" t="str">
        <f>VLOOKUP(A58,shape_file_country!$A$3:$B$198,2,FALSE)</f>
        <v>France</v>
      </c>
    </row>
    <row r="59" spans="1:3" x14ac:dyDescent="0.2">
      <c r="A59" t="s">
        <v>116</v>
      </c>
      <c r="B59" t="s">
        <v>117</v>
      </c>
      <c r="C59" t="str">
        <f>VLOOKUP(A59,shape_file_country!$A$3:$B$198,2,FALSE)</f>
        <v>Gabon</v>
      </c>
    </row>
    <row r="60" spans="1:3" x14ac:dyDescent="0.2">
      <c r="A60" t="s">
        <v>118</v>
      </c>
      <c r="B60" t="s">
        <v>119</v>
      </c>
      <c r="C60" t="str">
        <f>VLOOKUP(A60,shape_file_country!$A$3:$B$198,2,FALSE)</f>
        <v>United Kingdom</v>
      </c>
    </row>
    <row r="61" spans="1:3" x14ac:dyDescent="0.2">
      <c r="A61" t="s">
        <v>120</v>
      </c>
      <c r="B61" t="s">
        <v>121</v>
      </c>
      <c r="C61" t="str">
        <f>VLOOKUP(A61,shape_file_country!$A$3:$B$198,2,FALSE)</f>
        <v>Georgia</v>
      </c>
    </row>
    <row r="62" spans="1:3" x14ac:dyDescent="0.2">
      <c r="A62" t="s">
        <v>122</v>
      </c>
      <c r="B62" t="s">
        <v>123</v>
      </c>
      <c r="C62" t="str">
        <f>VLOOKUP(A62,shape_file_country!$A$3:$B$198,2,FALSE)</f>
        <v>Ghana</v>
      </c>
    </row>
    <row r="63" spans="1:3" x14ac:dyDescent="0.2">
      <c r="A63" t="s">
        <v>124</v>
      </c>
      <c r="B63" t="s">
        <v>125</v>
      </c>
      <c r="C63" t="str">
        <f>VLOOKUP(A63,shape_file_country!$A$3:$B$198,2,FALSE)</f>
        <v>Guinea</v>
      </c>
    </row>
    <row r="64" spans="1:3" x14ac:dyDescent="0.2">
      <c r="A64" t="s">
        <v>126</v>
      </c>
      <c r="B64" t="s">
        <v>127</v>
      </c>
      <c r="C64" t="str">
        <f>VLOOKUP(A64,shape_file_country!$A$3:$B$198,2,FALSE)</f>
        <v>Gambia</v>
      </c>
    </row>
    <row r="65" spans="1:3" x14ac:dyDescent="0.2">
      <c r="A65" t="s">
        <v>128</v>
      </c>
      <c r="B65" t="s">
        <v>129</v>
      </c>
      <c r="C65" t="str">
        <f>VLOOKUP(A65,shape_file_country!$A$3:$B$198,2,FALSE)</f>
        <v>Guinea-Bissau</v>
      </c>
    </row>
    <row r="66" spans="1:3" x14ac:dyDescent="0.2">
      <c r="A66" t="s">
        <v>130</v>
      </c>
      <c r="B66" t="s">
        <v>131</v>
      </c>
      <c r="C66" t="str">
        <f>VLOOKUP(A66,shape_file_country!$A$3:$B$198,2,FALSE)</f>
        <v>Eq. Guinea</v>
      </c>
    </row>
    <row r="67" spans="1:3" x14ac:dyDescent="0.2">
      <c r="A67" t="s">
        <v>132</v>
      </c>
      <c r="B67" t="s">
        <v>133</v>
      </c>
      <c r="C67" t="str">
        <f>VLOOKUP(A67,shape_file_country!$A$3:$B$198,2,FALSE)</f>
        <v>Greece</v>
      </c>
    </row>
    <row r="68" spans="1:3" x14ac:dyDescent="0.2">
      <c r="A68" t="s">
        <v>134</v>
      </c>
      <c r="B68" t="s">
        <v>135</v>
      </c>
      <c r="C68" t="str">
        <f>VLOOKUP(A68,shape_file_country!$A$3:$B$198,2,FALSE)</f>
        <v>Guatemala</v>
      </c>
    </row>
    <row r="69" spans="1:3" x14ac:dyDescent="0.2">
      <c r="A69" t="s">
        <v>136</v>
      </c>
      <c r="B69" t="s">
        <v>137</v>
      </c>
      <c r="C69" t="str">
        <f>VLOOKUP(A69,shape_file_country!$A$3:$B$198,2,FALSE)</f>
        <v>Guyana</v>
      </c>
    </row>
    <row r="70" spans="1:3" x14ac:dyDescent="0.2">
      <c r="A70" t="s">
        <v>138</v>
      </c>
      <c r="B70" t="s">
        <v>139</v>
      </c>
      <c r="C70" t="str">
        <f>VLOOKUP(A70,shape_file_country!$A$3:$B$198,2,FALSE)</f>
        <v>Hong Kong</v>
      </c>
    </row>
    <row r="71" spans="1:3" x14ac:dyDescent="0.2">
      <c r="A71" t="s">
        <v>140</v>
      </c>
      <c r="B71" t="s">
        <v>141</v>
      </c>
      <c r="C71" t="str">
        <f>VLOOKUP(A71,shape_file_country!$A$3:$B$198,2,FALSE)</f>
        <v>Honduras</v>
      </c>
    </row>
    <row r="72" spans="1:3" x14ac:dyDescent="0.2">
      <c r="A72" t="s">
        <v>142</v>
      </c>
      <c r="B72" t="s">
        <v>143</v>
      </c>
      <c r="C72" t="str">
        <f>VLOOKUP(A72,shape_file_country!$A$3:$B$198,2,FALSE)</f>
        <v>Croatia</v>
      </c>
    </row>
    <row r="73" spans="1:3" x14ac:dyDescent="0.2">
      <c r="A73" t="s">
        <v>144</v>
      </c>
      <c r="B73" t="s">
        <v>145</v>
      </c>
      <c r="C73" t="str">
        <f>VLOOKUP(A73,shape_file_country!$A$3:$B$198,2,FALSE)</f>
        <v>Haiti</v>
      </c>
    </row>
    <row r="74" spans="1:3" x14ac:dyDescent="0.2">
      <c r="A74" t="s">
        <v>146</v>
      </c>
      <c r="B74" t="s">
        <v>147</v>
      </c>
      <c r="C74" t="str">
        <f>VLOOKUP(A74,shape_file_country!$A$3:$B$198,2,FALSE)</f>
        <v>Hungary</v>
      </c>
    </row>
    <row r="75" spans="1:3" x14ac:dyDescent="0.2">
      <c r="A75" t="s">
        <v>148</v>
      </c>
      <c r="B75" t="s">
        <v>149</v>
      </c>
      <c r="C75" t="str">
        <f>VLOOKUP(A75,shape_file_country!$A$3:$B$198,2,FALSE)</f>
        <v>Indonesia</v>
      </c>
    </row>
    <row r="76" spans="1:3" x14ac:dyDescent="0.2">
      <c r="A76" t="s">
        <v>150</v>
      </c>
      <c r="B76" t="s">
        <v>151</v>
      </c>
      <c r="C76" t="str">
        <f>VLOOKUP(A76,shape_file_country!$A$3:$B$198,2,FALSE)</f>
        <v>India</v>
      </c>
    </row>
    <row r="77" spans="1:3" x14ac:dyDescent="0.2">
      <c r="A77" t="s">
        <v>152</v>
      </c>
      <c r="B77" t="s">
        <v>153</v>
      </c>
      <c r="C77" t="str">
        <f>VLOOKUP(A77,shape_file_country!$A$3:$B$198,2,FALSE)</f>
        <v>Ireland</v>
      </c>
    </row>
    <row r="78" spans="1:3" x14ac:dyDescent="0.2">
      <c r="A78" t="s">
        <v>154</v>
      </c>
      <c r="B78" t="s">
        <v>155</v>
      </c>
      <c r="C78" t="str">
        <f>VLOOKUP(A78,shape_file_country!$A$3:$B$198,2,FALSE)</f>
        <v>Iran</v>
      </c>
    </row>
    <row r="79" spans="1:3" x14ac:dyDescent="0.2">
      <c r="A79" t="s">
        <v>156</v>
      </c>
      <c r="B79" t="s">
        <v>157</v>
      </c>
      <c r="C79" t="str">
        <f>VLOOKUP(A79,shape_file_country!$A$3:$B$198,2,FALSE)</f>
        <v>Iraq</v>
      </c>
    </row>
    <row r="80" spans="1:3" x14ac:dyDescent="0.2">
      <c r="A80" t="s">
        <v>158</v>
      </c>
      <c r="B80" t="s">
        <v>159</v>
      </c>
      <c r="C80" t="str">
        <f>VLOOKUP(A80,shape_file_country!$A$3:$B$198,2,FALSE)</f>
        <v>Iceland</v>
      </c>
    </row>
    <row r="81" spans="1:3" x14ac:dyDescent="0.2">
      <c r="A81" t="s">
        <v>160</v>
      </c>
      <c r="B81" t="s">
        <v>161</v>
      </c>
      <c r="C81" t="str">
        <f>VLOOKUP(A81,shape_file_country!$A$3:$B$198,2,FALSE)</f>
        <v>Israel</v>
      </c>
    </row>
    <row r="82" spans="1:3" x14ac:dyDescent="0.2">
      <c r="A82" t="s">
        <v>162</v>
      </c>
      <c r="B82" t="s">
        <v>163</v>
      </c>
      <c r="C82" t="str">
        <f>VLOOKUP(A82,shape_file_country!$A$3:$B$198,2,FALSE)</f>
        <v>Italy</v>
      </c>
    </row>
    <row r="83" spans="1:3" x14ac:dyDescent="0.2">
      <c r="A83" t="s">
        <v>164</v>
      </c>
      <c r="B83" t="s">
        <v>165</v>
      </c>
      <c r="C83" t="str">
        <f>VLOOKUP(A83,shape_file_country!$A$3:$B$198,2,FALSE)</f>
        <v>Jamaica</v>
      </c>
    </row>
    <row r="84" spans="1:3" x14ac:dyDescent="0.2">
      <c r="A84" t="s">
        <v>166</v>
      </c>
      <c r="B84" t="s">
        <v>167</v>
      </c>
      <c r="C84" t="str">
        <f>VLOOKUP(A84,shape_file_country!$A$3:$B$198,2,FALSE)</f>
        <v>Jordan</v>
      </c>
    </row>
    <row r="85" spans="1:3" x14ac:dyDescent="0.2">
      <c r="A85" t="s">
        <v>168</v>
      </c>
      <c r="B85" t="s">
        <v>169</v>
      </c>
      <c r="C85" t="str">
        <f>VLOOKUP(A85,shape_file_country!$A$3:$B$198,2,FALSE)</f>
        <v>Japan</v>
      </c>
    </row>
    <row r="86" spans="1:3" x14ac:dyDescent="0.2">
      <c r="A86" t="s">
        <v>170</v>
      </c>
      <c r="B86" t="s">
        <v>171</v>
      </c>
      <c r="C86" t="str">
        <f>VLOOKUP(A86,shape_file_country!$A$3:$B$198,2,FALSE)</f>
        <v>Kazakhstan</v>
      </c>
    </row>
    <row r="87" spans="1:3" x14ac:dyDescent="0.2">
      <c r="A87" t="s">
        <v>172</v>
      </c>
      <c r="B87" t="s">
        <v>173</v>
      </c>
      <c r="C87" t="str">
        <f>VLOOKUP(A87,shape_file_country!$A$3:$B$198,2,FALSE)</f>
        <v>Kenya</v>
      </c>
    </row>
    <row r="88" spans="1:3" x14ac:dyDescent="0.2">
      <c r="A88" t="s">
        <v>174</v>
      </c>
      <c r="B88" t="s">
        <v>175</v>
      </c>
      <c r="C88" t="str">
        <f>VLOOKUP(A88,shape_file_country!$A$3:$B$198,2,FALSE)</f>
        <v>Kyrgyzstan</v>
      </c>
    </row>
    <row r="89" spans="1:3" x14ac:dyDescent="0.2">
      <c r="A89" t="s">
        <v>176</v>
      </c>
      <c r="B89" t="s">
        <v>177</v>
      </c>
      <c r="C89" t="str">
        <f>VLOOKUP(A89,shape_file_country!$A$3:$B$198,2,FALSE)</f>
        <v>Cambodia</v>
      </c>
    </row>
    <row r="90" spans="1:3" x14ac:dyDescent="0.2">
      <c r="A90" t="s">
        <v>178</v>
      </c>
      <c r="B90" t="s">
        <v>179</v>
      </c>
      <c r="C90" t="str">
        <f>VLOOKUP(A90,shape_file_country!$A$3:$B$198,2,FALSE)</f>
        <v>South Korea</v>
      </c>
    </row>
    <row r="91" spans="1:3" x14ac:dyDescent="0.2">
      <c r="A91" t="s">
        <v>180</v>
      </c>
      <c r="B91" t="s">
        <v>181</v>
      </c>
      <c r="C91" t="str">
        <f>VLOOKUP(A91,shape_file_country!$A$3:$B$198,2,FALSE)</f>
        <v>Kuwait</v>
      </c>
    </row>
    <row r="92" spans="1:3" x14ac:dyDescent="0.2">
      <c r="A92" t="s">
        <v>182</v>
      </c>
      <c r="B92" t="s">
        <v>183</v>
      </c>
      <c r="C92" t="str">
        <f>VLOOKUP(A92,shape_file_country!$A$3:$B$198,2,FALSE)</f>
        <v>Laos</v>
      </c>
    </row>
    <row r="93" spans="1:3" x14ac:dyDescent="0.2">
      <c r="A93" t="s">
        <v>184</v>
      </c>
      <c r="B93" t="s">
        <v>185</v>
      </c>
      <c r="C93" t="str">
        <f>VLOOKUP(A93,shape_file_country!$A$3:$B$198,2,FALSE)</f>
        <v>Lebanon</v>
      </c>
    </row>
    <row r="94" spans="1:3" x14ac:dyDescent="0.2">
      <c r="A94" t="s">
        <v>186</v>
      </c>
      <c r="B94" t="s">
        <v>187</v>
      </c>
      <c r="C94" t="str">
        <f>VLOOKUP(A94,shape_file_country!$A$3:$B$198,2,FALSE)</f>
        <v>Liberia</v>
      </c>
    </row>
    <row r="95" spans="1:3" x14ac:dyDescent="0.2">
      <c r="A95" t="s">
        <v>188</v>
      </c>
      <c r="B95" t="s">
        <v>189</v>
      </c>
      <c r="C95" t="str">
        <f>VLOOKUP(A95,shape_file_country!$A$3:$B$198,2,FALSE)</f>
        <v>Libya</v>
      </c>
    </row>
    <row r="96" spans="1:3" x14ac:dyDescent="0.2">
      <c r="A96" t="s">
        <v>190</v>
      </c>
      <c r="B96" t="s">
        <v>191</v>
      </c>
      <c r="C96" t="e">
        <f>VLOOKUP(A96,shape_file_country!$A$3:$B$198,2,FALSE)</f>
        <v>#N/A</v>
      </c>
    </row>
    <row r="97" spans="1:3" x14ac:dyDescent="0.2">
      <c r="A97" t="s">
        <v>192</v>
      </c>
      <c r="B97" t="s">
        <v>193</v>
      </c>
      <c r="C97" t="str">
        <f>VLOOKUP(A97,shape_file_country!$A$3:$B$198,2,FALSE)</f>
        <v>Sri Lanka</v>
      </c>
    </row>
    <row r="98" spans="1:3" x14ac:dyDescent="0.2">
      <c r="A98" t="s">
        <v>194</v>
      </c>
      <c r="B98" t="s">
        <v>195</v>
      </c>
      <c r="C98" t="str">
        <f>VLOOKUP(A98,shape_file_country!$A$3:$B$198,2,FALSE)</f>
        <v>Lesotho</v>
      </c>
    </row>
    <row r="99" spans="1:3" x14ac:dyDescent="0.2">
      <c r="A99" t="s">
        <v>196</v>
      </c>
      <c r="B99" t="s">
        <v>197</v>
      </c>
      <c r="C99" t="str">
        <f>VLOOKUP(A99,shape_file_country!$A$3:$B$198,2,FALSE)</f>
        <v>Lithuania</v>
      </c>
    </row>
    <row r="100" spans="1:3" x14ac:dyDescent="0.2">
      <c r="A100" t="s">
        <v>198</v>
      </c>
      <c r="B100" t="s">
        <v>199</v>
      </c>
      <c r="C100" t="str">
        <f>VLOOKUP(A100,shape_file_country!$A$3:$B$198,2,FALSE)</f>
        <v>Luxembourg</v>
      </c>
    </row>
    <row r="101" spans="1:3" x14ac:dyDescent="0.2">
      <c r="A101" t="s">
        <v>200</v>
      </c>
      <c r="B101" t="s">
        <v>201</v>
      </c>
      <c r="C101" t="str">
        <f>VLOOKUP(A101,shape_file_country!$A$3:$B$198,2,FALSE)</f>
        <v>Latvia</v>
      </c>
    </row>
    <row r="102" spans="1:3" x14ac:dyDescent="0.2">
      <c r="A102" t="s">
        <v>202</v>
      </c>
      <c r="B102" t="s">
        <v>203</v>
      </c>
      <c r="C102" t="e">
        <f>VLOOKUP(A102,shape_file_country!$A$3:$B$198,2,FALSE)</f>
        <v>#N/A</v>
      </c>
    </row>
    <row r="103" spans="1:3" x14ac:dyDescent="0.2">
      <c r="A103" t="s">
        <v>204</v>
      </c>
      <c r="B103" t="s">
        <v>205</v>
      </c>
      <c r="C103" t="str">
        <f>VLOOKUP(A103,shape_file_country!$A$3:$B$198,2,FALSE)</f>
        <v>Morocco</v>
      </c>
    </row>
    <row r="104" spans="1:3" x14ac:dyDescent="0.2">
      <c r="A104" t="s">
        <v>206</v>
      </c>
      <c r="B104" t="s">
        <v>207</v>
      </c>
      <c r="C104" t="str">
        <f>VLOOKUP(A104,shape_file_country!$A$3:$B$198,2,FALSE)</f>
        <v>Moldova</v>
      </c>
    </row>
    <row r="105" spans="1:3" x14ac:dyDescent="0.2">
      <c r="A105" t="s">
        <v>208</v>
      </c>
      <c r="B105" t="s">
        <v>209</v>
      </c>
      <c r="C105" t="str">
        <f>VLOOKUP(A105,shape_file_country!$A$3:$B$198,2,FALSE)</f>
        <v>Madagascar</v>
      </c>
    </row>
    <row r="106" spans="1:3" x14ac:dyDescent="0.2">
      <c r="A106" t="s">
        <v>210</v>
      </c>
      <c r="B106" t="s">
        <v>211</v>
      </c>
      <c r="C106" t="e">
        <f>VLOOKUP(A106,shape_file_country!$A$3:$B$198,2,FALSE)</f>
        <v>#N/A</v>
      </c>
    </row>
    <row r="107" spans="1:3" x14ac:dyDescent="0.2">
      <c r="A107" t="s">
        <v>212</v>
      </c>
      <c r="B107" t="s">
        <v>213</v>
      </c>
      <c r="C107" t="str">
        <f>VLOOKUP(A107,shape_file_country!$A$3:$B$198,2,FALSE)</f>
        <v>Mexico</v>
      </c>
    </row>
    <row r="108" spans="1:3" x14ac:dyDescent="0.2">
      <c r="A108" t="s">
        <v>214</v>
      </c>
      <c r="B108" t="s">
        <v>215</v>
      </c>
      <c r="C108" t="str">
        <f>VLOOKUP(A108,shape_file_country!$A$3:$B$198,2,FALSE)</f>
        <v>North Macedonia</v>
      </c>
    </row>
    <row r="109" spans="1:3" x14ac:dyDescent="0.2">
      <c r="A109" t="s">
        <v>216</v>
      </c>
      <c r="B109" t="s">
        <v>217</v>
      </c>
      <c r="C109" t="str">
        <f>VLOOKUP(A109,shape_file_country!$A$3:$B$198,2,FALSE)</f>
        <v>Mali</v>
      </c>
    </row>
    <row r="110" spans="1:3" x14ac:dyDescent="0.2">
      <c r="A110" t="s">
        <v>218</v>
      </c>
      <c r="B110" t="s">
        <v>219</v>
      </c>
      <c r="C110" t="e">
        <f>VLOOKUP(A110,shape_file_country!$A$3:$B$198,2,FALSE)</f>
        <v>#N/A</v>
      </c>
    </row>
    <row r="111" spans="1:3" x14ac:dyDescent="0.2">
      <c r="A111" t="s">
        <v>220</v>
      </c>
      <c r="B111" t="s">
        <v>221</v>
      </c>
      <c r="C111" t="str">
        <f>VLOOKUP(A111,shape_file_country!$A$3:$B$198,2,FALSE)</f>
        <v>Myanmar</v>
      </c>
    </row>
    <row r="112" spans="1:3" x14ac:dyDescent="0.2">
      <c r="A112" t="s">
        <v>222</v>
      </c>
      <c r="B112" t="s">
        <v>223</v>
      </c>
      <c r="C112" t="str">
        <f>VLOOKUP(A112,shape_file_country!$A$3:$B$198,2,FALSE)</f>
        <v>Montenegro</v>
      </c>
    </row>
    <row r="113" spans="1:3" x14ac:dyDescent="0.2">
      <c r="A113" t="s">
        <v>224</v>
      </c>
      <c r="B113" t="s">
        <v>225</v>
      </c>
      <c r="C113" t="str">
        <f>VLOOKUP(A113,shape_file_country!$A$3:$B$198,2,FALSE)</f>
        <v>Mongolia</v>
      </c>
    </row>
    <row r="114" spans="1:3" x14ac:dyDescent="0.2">
      <c r="A114" t="s">
        <v>226</v>
      </c>
      <c r="B114" t="s">
        <v>227</v>
      </c>
      <c r="C114" t="str">
        <f>VLOOKUP(A114,shape_file_country!$A$3:$B$198,2,FALSE)</f>
        <v>Mozambique</v>
      </c>
    </row>
    <row r="115" spans="1:3" x14ac:dyDescent="0.2">
      <c r="A115" t="s">
        <v>228</v>
      </c>
      <c r="B115" t="s">
        <v>229</v>
      </c>
      <c r="C115" t="str">
        <f>VLOOKUP(A115,shape_file_country!$A$3:$B$198,2,FALSE)</f>
        <v>Mauritania</v>
      </c>
    </row>
    <row r="116" spans="1:3" x14ac:dyDescent="0.2">
      <c r="A116" t="s">
        <v>230</v>
      </c>
      <c r="B116" t="s">
        <v>231</v>
      </c>
      <c r="C116" t="str">
        <f>VLOOKUP(A116,shape_file_country!$A$3:$B$198,2,FALSE)</f>
        <v>Mauritius</v>
      </c>
    </row>
    <row r="117" spans="1:3" x14ac:dyDescent="0.2">
      <c r="A117" t="s">
        <v>232</v>
      </c>
      <c r="B117" t="s">
        <v>233</v>
      </c>
      <c r="C117" t="str">
        <f>VLOOKUP(A117,shape_file_country!$A$3:$B$198,2,FALSE)</f>
        <v>Malawi</v>
      </c>
    </row>
    <row r="118" spans="1:3" x14ac:dyDescent="0.2">
      <c r="A118" t="s">
        <v>234</v>
      </c>
      <c r="B118" t="s">
        <v>235</v>
      </c>
      <c r="C118" t="str">
        <f>VLOOKUP(A118,shape_file_country!$A$3:$B$198,2,FALSE)</f>
        <v>Malaysia</v>
      </c>
    </row>
    <row r="119" spans="1:3" x14ac:dyDescent="0.2">
      <c r="A119" t="s">
        <v>236</v>
      </c>
      <c r="B119" t="s">
        <v>237</v>
      </c>
      <c r="C119" t="str">
        <f>VLOOKUP(A119,shape_file_country!$A$3:$B$198,2,FALSE)</f>
        <v>Namibia</v>
      </c>
    </row>
    <row r="120" spans="1:3" x14ac:dyDescent="0.2">
      <c r="A120" t="s">
        <v>238</v>
      </c>
      <c r="B120" t="s">
        <v>239</v>
      </c>
      <c r="C120" t="str">
        <f>VLOOKUP(A120,shape_file_country!$A$3:$B$198,2,FALSE)</f>
        <v>New Caledonia</v>
      </c>
    </row>
    <row r="121" spans="1:3" x14ac:dyDescent="0.2">
      <c r="A121" t="s">
        <v>240</v>
      </c>
      <c r="B121" t="s">
        <v>241</v>
      </c>
      <c r="C121" t="str">
        <f>VLOOKUP(A121,shape_file_country!$A$3:$B$198,2,FALSE)</f>
        <v>Niger</v>
      </c>
    </row>
    <row r="122" spans="1:3" x14ac:dyDescent="0.2">
      <c r="A122" t="s">
        <v>242</v>
      </c>
      <c r="B122" t="s">
        <v>243</v>
      </c>
      <c r="C122" t="str">
        <f>VLOOKUP(A122,shape_file_country!$A$3:$B$198,2,FALSE)</f>
        <v>Nigeria</v>
      </c>
    </row>
    <row r="123" spans="1:3" x14ac:dyDescent="0.2">
      <c r="A123" t="s">
        <v>244</v>
      </c>
      <c r="B123" t="s">
        <v>245</v>
      </c>
      <c r="C123" t="str">
        <f>VLOOKUP(A123,shape_file_country!$A$3:$B$198,2,FALSE)</f>
        <v>Nicaragua</v>
      </c>
    </row>
    <row r="124" spans="1:3" x14ac:dyDescent="0.2">
      <c r="A124" t="s">
        <v>246</v>
      </c>
      <c r="B124" t="s">
        <v>247</v>
      </c>
      <c r="C124" t="str">
        <f>VLOOKUP(A124,shape_file_country!$A$3:$B$198,2,FALSE)</f>
        <v>Netherlands</v>
      </c>
    </row>
    <row r="125" spans="1:3" x14ac:dyDescent="0.2">
      <c r="A125" t="s">
        <v>248</v>
      </c>
      <c r="B125" t="s">
        <v>249</v>
      </c>
      <c r="C125" t="str">
        <f>VLOOKUP(A125,shape_file_country!$A$3:$B$198,2,FALSE)</f>
        <v>Norway</v>
      </c>
    </row>
    <row r="126" spans="1:3" x14ac:dyDescent="0.2">
      <c r="A126" t="s">
        <v>250</v>
      </c>
      <c r="B126" t="s">
        <v>251</v>
      </c>
      <c r="C126" t="str">
        <f>VLOOKUP(A126,shape_file_country!$A$3:$B$198,2,FALSE)</f>
        <v>Nepal</v>
      </c>
    </row>
    <row r="127" spans="1:3" x14ac:dyDescent="0.2">
      <c r="A127" t="s">
        <v>252</v>
      </c>
      <c r="B127" t="s">
        <v>253</v>
      </c>
      <c r="C127" t="str">
        <f>VLOOKUP(A127,shape_file_country!$A$3:$B$198,2,FALSE)</f>
        <v>New Zealand</v>
      </c>
    </row>
    <row r="128" spans="1:3" x14ac:dyDescent="0.2">
      <c r="A128" t="s">
        <v>254</v>
      </c>
      <c r="B128" t="s">
        <v>255</v>
      </c>
      <c r="C128" t="str">
        <f>VLOOKUP(A128,shape_file_country!$A$3:$B$198,2,FALSE)</f>
        <v>Oman</v>
      </c>
    </row>
    <row r="129" spans="1:3" x14ac:dyDescent="0.2">
      <c r="A129" t="s">
        <v>256</v>
      </c>
      <c r="B129" t="s">
        <v>257</v>
      </c>
      <c r="C129" t="str">
        <f>VLOOKUP(A129,shape_file_country!$A$3:$B$198,2,FALSE)</f>
        <v>Pakistan</v>
      </c>
    </row>
    <row r="130" spans="1:3" x14ac:dyDescent="0.2">
      <c r="A130" t="s">
        <v>258</v>
      </c>
      <c r="B130" t="s">
        <v>259</v>
      </c>
      <c r="C130" t="str">
        <f>VLOOKUP(A130,shape_file_country!$A$3:$B$198,2,FALSE)</f>
        <v>Panama</v>
      </c>
    </row>
    <row r="131" spans="1:3" x14ac:dyDescent="0.2">
      <c r="A131" t="s">
        <v>260</v>
      </c>
      <c r="B131" t="s">
        <v>261</v>
      </c>
      <c r="C131" t="str">
        <f>VLOOKUP(A131,shape_file_country!$A$3:$B$198,2,FALSE)</f>
        <v>Peru</v>
      </c>
    </row>
    <row r="132" spans="1:3" x14ac:dyDescent="0.2">
      <c r="A132" t="s">
        <v>262</v>
      </c>
      <c r="B132" t="s">
        <v>263</v>
      </c>
      <c r="C132" t="str">
        <f>VLOOKUP(A132,shape_file_country!$A$3:$B$198,2,FALSE)</f>
        <v>Philippines</v>
      </c>
    </row>
    <row r="133" spans="1:3" x14ac:dyDescent="0.2">
      <c r="A133" t="s">
        <v>264</v>
      </c>
      <c r="B133" t="s">
        <v>265</v>
      </c>
      <c r="C133" t="str">
        <f>VLOOKUP(A133,shape_file_country!$A$3:$B$198,2,FALSE)</f>
        <v>Papua New Guinea</v>
      </c>
    </row>
    <row r="134" spans="1:3" x14ac:dyDescent="0.2">
      <c r="A134" t="s">
        <v>266</v>
      </c>
      <c r="B134" t="s">
        <v>267</v>
      </c>
      <c r="C134" t="str">
        <f>VLOOKUP(A134,shape_file_country!$A$3:$B$198,2,FALSE)</f>
        <v>Poland</v>
      </c>
    </row>
    <row r="135" spans="1:3" x14ac:dyDescent="0.2">
      <c r="A135" t="s">
        <v>268</v>
      </c>
      <c r="B135" t="s">
        <v>269</v>
      </c>
      <c r="C135" t="str">
        <f>VLOOKUP(A135,shape_file_country!$A$3:$B$198,2,FALSE)</f>
        <v>Puerto Rico</v>
      </c>
    </row>
    <row r="136" spans="1:3" x14ac:dyDescent="0.2">
      <c r="A136" t="s">
        <v>270</v>
      </c>
      <c r="B136" t="s">
        <v>271</v>
      </c>
      <c r="C136" t="str">
        <f>VLOOKUP(A136,shape_file_country!$A$3:$B$198,2,FALSE)</f>
        <v>Portugal</v>
      </c>
    </row>
    <row r="137" spans="1:3" x14ac:dyDescent="0.2">
      <c r="A137" t="s">
        <v>272</v>
      </c>
      <c r="B137" t="s">
        <v>273</v>
      </c>
      <c r="C137" t="str">
        <f>VLOOKUP(A137,shape_file_country!$A$3:$B$198,2,FALSE)</f>
        <v>Paraguay</v>
      </c>
    </row>
    <row r="138" spans="1:3" x14ac:dyDescent="0.2">
      <c r="A138" t="s">
        <v>274</v>
      </c>
      <c r="B138" t="s">
        <v>275</v>
      </c>
      <c r="C138" t="str">
        <f>VLOOKUP(A138,shape_file_country!$A$3:$B$198,2,FALSE)</f>
        <v>Palestine</v>
      </c>
    </row>
    <row r="139" spans="1:3" x14ac:dyDescent="0.2">
      <c r="A139" t="s">
        <v>276</v>
      </c>
      <c r="B139" t="s">
        <v>277</v>
      </c>
      <c r="C139" t="str">
        <f>VLOOKUP(A139,shape_file_country!$A$3:$B$198,2,FALSE)</f>
        <v>Fr. Polynesia</v>
      </c>
    </row>
    <row r="140" spans="1:3" x14ac:dyDescent="0.2">
      <c r="A140" t="s">
        <v>278</v>
      </c>
      <c r="B140" t="s">
        <v>279</v>
      </c>
      <c r="C140" t="str">
        <f>VLOOKUP(A140,shape_file_country!$A$3:$B$198,2,FALSE)</f>
        <v>Qatar</v>
      </c>
    </row>
    <row r="141" spans="1:3" x14ac:dyDescent="0.2">
      <c r="A141" t="s">
        <v>280</v>
      </c>
      <c r="B141" t="s">
        <v>281</v>
      </c>
      <c r="C141" t="str">
        <f>VLOOKUP(A141,shape_file_country!$A$3:$B$198,2,FALSE)</f>
        <v>Romania</v>
      </c>
    </row>
    <row r="142" spans="1:3" x14ac:dyDescent="0.2">
      <c r="A142" t="s">
        <v>282</v>
      </c>
      <c r="B142" t="s">
        <v>283</v>
      </c>
      <c r="C142" t="str">
        <f>VLOOKUP(A142,shape_file_country!$A$3:$B$198,2,FALSE)</f>
        <v>Russia</v>
      </c>
    </row>
    <row r="143" spans="1:3" x14ac:dyDescent="0.2">
      <c r="A143" t="s">
        <v>284</v>
      </c>
      <c r="B143" t="s">
        <v>285</v>
      </c>
      <c r="C143" t="str">
        <f>VLOOKUP(A143,shape_file_country!$A$3:$B$198,2,FALSE)</f>
        <v>Rwanda</v>
      </c>
    </row>
    <row r="144" spans="1:3" x14ac:dyDescent="0.2">
      <c r="A144" t="s">
        <v>286</v>
      </c>
      <c r="B144" t="s">
        <v>287</v>
      </c>
      <c r="C144" t="str">
        <f>VLOOKUP(A144,shape_file_country!$A$3:$B$198,2,FALSE)</f>
        <v>Saudi Arabia</v>
      </c>
    </row>
    <row r="145" spans="1:3" x14ac:dyDescent="0.2">
      <c r="A145" t="s">
        <v>288</v>
      </c>
      <c r="B145" t="s">
        <v>289</v>
      </c>
      <c r="C145" t="str">
        <f>VLOOKUP(A145,shape_file_country!$A$3:$B$198,2,FALSE)</f>
        <v>Sudan</v>
      </c>
    </row>
    <row r="146" spans="1:3" x14ac:dyDescent="0.2">
      <c r="A146" t="s">
        <v>290</v>
      </c>
      <c r="B146" t="s">
        <v>291</v>
      </c>
      <c r="C146" t="str">
        <f>VLOOKUP(A146,shape_file_country!$A$3:$B$198,2,FALSE)</f>
        <v>Senegal</v>
      </c>
    </row>
    <row r="147" spans="1:3" x14ac:dyDescent="0.2">
      <c r="A147" t="s">
        <v>292</v>
      </c>
      <c r="B147" t="s">
        <v>293</v>
      </c>
      <c r="C147" t="e">
        <f>VLOOKUP(A147,shape_file_country!$A$3:$B$198,2,FALSE)</f>
        <v>#N/A</v>
      </c>
    </row>
    <row r="148" spans="1:3" x14ac:dyDescent="0.2">
      <c r="A148" t="s">
        <v>294</v>
      </c>
      <c r="B148" t="s">
        <v>295</v>
      </c>
      <c r="C148" t="str">
        <f>VLOOKUP(A148,shape_file_country!$A$3:$B$198,2,FALSE)</f>
        <v>Solomon Is.</v>
      </c>
    </row>
    <row r="149" spans="1:3" x14ac:dyDescent="0.2">
      <c r="A149" t="s">
        <v>296</v>
      </c>
      <c r="B149" t="s">
        <v>297</v>
      </c>
      <c r="C149" t="str">
        <f>VLOOKUP(A149,shape_file_country!$A$3:$B$198,2,FALSE)</f>
        <v>Sierra Leone</v>
      </c>
    </row>
    <row r="150" spans="1:3" x14ac:dyDescent="0.2">
      <c r="A150" t="s">
        <v>298</v>
      </c>
      <c r="B150" t="s">
        <v>299</v>
      </c>
      <c r="C150" t="str">
        <f>VLOOKUP(A150,shape_file_country!$A$3:$B$198,2,FALSE)</f>
        <v>El Salvador</v>
      </c>
    </row>
    <row r="151" spans="1:3" x14ac:dyDescent="0.2">
      <c r="A151" t="s">
        <v>300</v>
      </c>
      <c r="B151" t="s">
        <v>301</v>
      </c>
      <c r="C151" t="str">
        <f>VLOOKUP(A151,shape_file_country!$A$3:$B$198,2,FALSE)</f>
        <v>Somalia</v>
      </c>
    </row>
    <row r="152" spans="1:3" x14ac:dyDescent="0.2">
      <c r="A152" t="s">
        <v>302</v>
      </c>
      <c r="B152" t="s">
        <v>303</v>
      </c>
      <c r="C152" t="str">
        <f>VLOOKUP(A152,shape_file_country!$A$3:$B$198,2,FALSE)</f>
        <v>Serbia</v>
      </c>
    </row>
    <row r="153" spans="1:3" x14ac:dyDescent="0.2">
      <c r="A153" t="s">
        <v>304</v>
      </c>
      <c r="B153" t="s">
        <v>305</v>
      </c>
      <c r="C153" t="str">
        <f>VLOOKUP(A153,shape_file_country!$A$3:$B$198,2,FALSE)</f>
        <v>S√£o Tom√© and Principe</v>
      </c>
    </row>
    <row r="154" spans="1:3" x14ac:dyDescent="0.2">
      <c r="A154" t="s">
        <v>306</v>
      </c>
      <c r="B154" t="s">
        <v>307</v>
      </c>
      <c r="C154" t="str">
        <f>VLOOKUP(A154,shape_file_country!$A$3:$B$198,2,FALSE)</f>
        <v>Suriname</v>
      </c>
    </row>
    <row r="155" spans="1:3" x14ac:dyDescent="0.2">
      <c r="A155" t="s">
        <v>308</v>
      </c>
      <c r="B155" t="s">
        <v>309</v>
      </c>
      <c r="C155" t="str">
        <f>VLOOKUP(A155,shape_file_country!$A$3:$B$198,2,FALSE)</f>
        <v>Slovakia</v>
      </c>
    </row>
    <row r="156" spans="1:3" x14ac:dyDescent="0.2">
      <c r="A156" t="s">
        <v>310</v>
      </c>
      <c r="B156" t="s">
        <v>311</v>
      </c>
      <c r="C156" t="str">
        <f>VLOOKUP(A156,shape_file_country!$A$3:$B$198,2,FALSE)</f>
        <v>Slovenia</v>
      </c>
    </row>
    <row r="157" spans="1:3" x14ac:dyDescent="0.2">
      <c r="A157" t="s">
        <v>312</v>
      </c>
      <c r="B157" t="s">
        <v>313</v>
      </c>
      <c r="C157" t="str">
        <f>VLOOKUP(A157,shape_file_country!$A$3:$B$198,2,FALSE)</f>
        <v>Sweden</v>
      </c>
    </row>
    <row r="158" spans="1:3" x14ac:dyDescent="0.2">
      <c r="A158" t="s">
        <v>314</v>
      </c>
      <c r="B158" t="s">
        <v>315</v>
      </c>
      <c r="C158" t="str">
        <f>VLOOKUP(A158,shape_file_country!$A$3:$B$198,2,FALSE)</f>
        <v>eSwatini</v>
      </c>
    </row>
    <row r="159" spans="1:3" x14ac:dyDescent="0.2">
      <c r="A159" t="s">
        <v>316</v>
      </c>
      <c r="B159" t="s">
        <v>317</v>
      </c>
      <c r="C159" t="str">
        <f>VLOOKUP(A159,shape_file_country!$A$3:$B$198,2,FALSE)</f>
        <v>Syria</v>
      </c>
    </row>
    <row r="160" spans="1:3" x14ac:dyDescent="0.2">
      <c r="A160" t="s">
        <v>318</v>
      </c>
      <c r="B160" t="s">
        <v>319</v>
      </c>
      <c r="C160" t="str">
        <f>VLOOKUP(A160,shape_file_country!$A$3:$B$198,2,FALSE)</f>
        <v>Chad</v>
      </c>
    </row>
    <row r="161" spans="1:3" x14ac:dyDescent="0.2">
      <c r="A161" t="s">
        <v>320</v>
      </c>
      <c r="B161" t="s">
        <v>321</v>
      </c>
      <c r="C161" t="str">
        <f>VLOOKUP(A161,shape_file_country!$A$3:$B$198,2,FALSE)</f>
        <v>Togo</v>
      </c>
    </row>
    <row r="162" spans="1:3" x14ac:dyDescent="0.2">
      <c r="A162" t="s">
        <v>322</v>
      </c>
      <c r="B162" t="s">
        <v>323</v>
      </c>
      <c r="C162" t="str">
        <f>VLOOKUP(A162,shape_file_country!$A$3:$B$198,2,FALSE)</f>
        <v>Thailand</v>
      </c>
    </row>
    <row r="163" spans="1:3" x14ac:dyDescent="0.2">
      <c r="A163" t="s">
        <v>324</v>
      </c>
      <c r="B163" t="s">
        <v>325</v>
      </c>
      <c r="C163" t="str">
        <f>VLOOKUP(A163,shape_file_country!$A$3:$B$198,2,FALSE)</f>
        <v>Tajikistan</v>
      </c>
    </row>
    <row r="164" spans="1:3" x14ac:dyDescent="0.2">
      <c r="A164" t="s">
        <v>326</v>
      </c>
      <c r="B164" t="s">
        <v>327</v>
      </c>
      <c r="C164" t="str">
        <f>VLOOKUP(A164,shape_file_country!$A$3:$B$198,2,FALSE)</f>
        <v>Turkmenistan</v>
      </c>
    </row>
    <row r="165" spans="1:3" x14ac:dyDescent="0.2">
      <c r="A165" t="s">
        <v>328</v>
      </c>
      <c r="B165" t="s">
        <v>329</v>
      </c>
      <c r="C165" t="str">
        <f>VLOOKUP(A165,shape_file_country!$A$3:$B$198,2,FALSE)</f>
        <v>Timor-Leste</v>
      </c>
    </row>
    <row r="166" spans="1:3" x14ac:dyDescent="0.2">
      <c r="A166" t="s">
        <v>330</v>
      </c>
      <c r="B166" t="s">
        <v>331</v>
      </c>
      <c r="C166" t="e">
        <f>VLOOKUP(A166,shape_file_country!$A$3:$B$198,2,FALSE)</f>
        <v>#N/A</v>
      </c>
    </row>
    <row r="167" spans="1:3" x14ac:dyDescent="0.2">
      <c r="A167" t="s">
        <v>332</v>
      </c>
      <c r="B167" t="s">
        <v>333</v>
      </c>
      <c r="C167" t="str">
        <f>VLOOKUP(A167,shape_file_country!$A$3:$B$198,2,FALSE)</f>
        <v>Trinidad and Tobago</v>
      </c>
    </row>
    <row r="168" spans="1:3" x14ac:dyDescent="0.2">
      <c r="A168" t="s">
        <v>334</v>
      </c>
      <c r="B168" t="s">
        <v>335</v>
      </c>
      <c r="C168" t="str">
        <f>VLOOKUP(A168,shape_file_country!$A$3:$B$198,2,FALSE)</f>
        <v>Tunisia</v>
      </c>
    </row>
    <row r="169" spans="1:3" x14ac:dyDescent="0.2">
      <c r="A169" t="s">
        <v>336</v>
      </c>
      <c r="B169" t="s">
        <v>337</v>
      </c>
      <c r="C169" t="str">
        <f>VLOOKUP(A169,shape_file_country!$A$3:$B$198,2,FALSE)</f>
        <v>Turkey</v>
      </c>
    </row>
    <row r="170" spans="1:3" x14ac:dyDescent="0.2">
      <c r="A170" t="s">
        <v>338</v>
      </c>
      <c r="B170" t="s">
        <v>339</v>
      </c>
      <c r="C170" t="str">
        <f>VLOOKUP(A170,shape_file_country!$A$3:$B$198,2,FALSE)</f>
        <v>Taiwan</v>
      </c>
    </row>
    <row r="171" spans="1:3" x14ac:dyDescent="0.2">
      <c r="A171" t="s">
        <v>340</v>
      </c>
      <c r="B171" t="s">
        <v>341</v>
      </c>
      <c r="C171" t="str">
        <f>VLOOKUP(A171,shape_file_country!$A$3:$B$198,2,FALSE)</f>
        <v>Tanzania</v>
      </c>
    </row>
    <row r="172" spans="1:3" x14ac:dyDescent="0.2">
      <c r="A172" t="s">
        <v>342</v>
      </c>
      <c r="B172" t="s">
        <v>343</v>
      </c>
      <c r="C172" t="str">
        <f>VLOOKUP(A172,shape_file_country!$A$3:$B$198,2,FALSE)</f>
        <v>Uganda</v>
      </c>
    </row>
    <row r="173" spans="1:3" x14ac:dyDescent="0.2">
      <c r="A173" t="s">
        <v>344</v>
      </c>
      <c r="B173" t="s">
        <v>345</v>
      </c>
      <c r="C173" t="str">
        <f>VLOOKUP(A173,shape_file_country!$A$3:$B$198,2,FALSE)</f>
        <v>Ukraine</v>
      </c>
    </row>
    <row r="174" spans="1:3" x14ac:dyDescent="0.2">
      <c r="A174" t="s">
        <v>346</v>
      </c>
      <c r="B174" t="s">
        <v>347</v>
      </c>
      <c r="C174" t="str">
        <f>VLOOKUP(A174,shape_file_country!$A$3:$B$198,2,FALSE)</f>
        <v>Uruguay</v>
      </c>
    </row>
    <row r="175" spans="1:3" x14ac:dyDescent="0.2">
      <c r="A175" t="s">
        <v>348</v>
      </c>
      <c r="B175" t="s">
        <v>349</v>
      </c>
      <c r="C175" t="str">
        <f>VLOOKUP(A175,shape_file_country!$A$3:$B$198,2,FALSE)</f>
        <v>United States of America</v>
      </c>
    </row>
    <row r="176" spans="1:3" x14ac:dyDescent="0.2">
      <c r="A176" t="s">
        <v>350</v>
      </c>
      <c r="B176" t="s">
        <v>351</v>
      </c>
      <c r="C176" t="str">
        <f>VLOOKUP(A176,shape_file_country!$A$3:$B$198,2,FALSE)</f>
        <v>Uzbekistan</v>
      </c>
    </row>
    <row r="177" spans="1:3" x14ac:dyDescent="0.2">
      <c r="A177" t="s">
        <v>352</v>
      </c>
      <c r="B177" t="s">
        <v>353</v>
      </c>
      <c r="C177" t="str">
        <f>VLOOKUP(A177,shape_file_country!$A$3:$B$198,2,FALSE)</f>
        <v>St. Vin. and Gren.</v>
      </c>
    </row>
    <row r="178" spans="1:3" x14ac:dyDescent="0.2">
      <c r="A178" t="s">
        <v>354</v>
      </c>
      <c r="B178" t="s">
        <v>355</v>
      </c>
      <c r="C178" t="str">
        <f>VLOOKUP(A178,shape_file_country!$A$3:$B$198,2,FALSE)</f>
        <v>Venezuela</v>
      </c>
    </row>
    <row r="179" spans="1:3" x14ac:dyDescent="0.2">
      <c r="A179" t="s">
        <v>356</v>
      </c>
      <c r="B179" t="s">
        <v>357</v>
      </c>
      <c r="C179" t="str">
        <f>VLOOKUP(A179,shape_file_country!$A$3:$B$198,2,FALSE)</f>
        <v>Vietnam</v>
      </c>
    </row>
    <row r="180" spans="1:3" x14ac:dyDescent="0.2">
      <c r="A180" t="s">
        <v>358</v>
      </c>
      <c r="B180" t="s">
        <v>359</v>
      </c>
      <c r="C180" t="str">
        <f>VLOOKUP(A180,shape_file_country!$A$3:$B$198,2,FALSE)</f>
        <v>Vanuatu</v>
      </c>
    </row>
    <row r="181" spans="1:3" x14ac:dyDescent="0.2">
      <c r="A181" t="s">
        <v>360</v>
      </c>
      <c r="B181" t="s">
        <v>361</v>
      </c>
      <c r="C181" t="str">
        <f>VLOOKUP(A181,shape_file_country!$A$3:$B$198,2,FALSE)</f>
        <v>Samoa</v>
      </c>
    </row>
    <row r="182" spans="1:3" x14ac:dyDescent="0.2">
      <c r="A182" t="s">
        <v>362</v>
      </c>
      <c r="B182" t="s">
        <v>363</v>
      </c>
      <c r="C182" t="str">
        <f>VLOOKUP(A182,shape_file_country!$A$3:$B$198,2,FALSE)</f>
        <v>Yemen</v>
      </c>
    </row>
    <row r="183" spans="1:3" x14ac:dyDescent="0.2">
      <c r="A183" t="s">
        <v>364</v>
      </c>
      <c r="B183" t="s">
        <v>365</v>
      </c>
      <c r="C183" t="str">
        <f>VLOOKUP(A183,shape_file_country!$A$3:$B$198,2,FALSE)</f>
        <v>South Africa</v>
      </c>
    </row>
    <row r="184" spans="1:3" x14ac:dyDescent="0.2">
      <c r="A184" t="s">
        <v>366</v>
      </c>
      <c r="B184" t="s">
        <v>367</v>
      </c>
      <c r="C184" t="str">
        <f>VLOOKUP(A184,shape_file_country!$A$3:$B$198,2,FALSE)</f>
        <v>Zambia</v>
      </c>
    </row>
    <row r="185" spans="1:3" x14ac:dyDescent="0.2">
      <c r="A185" t="s">
        <v>368</v>
      </c>
      <c r="B185" t="s">
        <v>369</v>
      </c>
      <c r="C185" t="str">
        <f>VLOOKUP(A185,shape_file_country!$A$3:$B$198,2,FALSE)</f>
        <v>Zimbabwe</v>
      </c>
    </row>
  </sheetData>
  <autoFilter ref="A1:C185" xr:uid="{4C1CB24F-2770-3040-88A4-23B0B2FD6E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7E6A-1531-DC46-89D1-4FFE6F39F552}">
  <dimension ref="A1:B198"/>
  <sheetViews>
    <sheetView topLeftCell="A162" workbookViewId="0">
      <selection activeCell="A199" sqref="A199"/>
    </sheetView>
  </sheetViews>
  <sheetFormatPr baseColWidth="10" defaultRowHeight="16" x14ac:dyDescent="0.2"/>
  <cols>
    <col min="2" max="2" width="22.5" bestFit="1" customWidth="1"/>
  </cols>
  <sheetData>
    <row r="1" spans="1:2" x14ac:dyDescent="0.2">
      <c r="A1" s="1" t="s">
        <v>431</v>
      </c>
    </row>
    <row r="2" spans="1:2" x14ac:dyDescent="0.2">
      <c r="A2" t="s">
        <v>370</v>
      </c>
      <c r="B2" t="s">
        <v>371</v>
      </c>
    </row>
    <row r="3" spans="1:2" x14ac:dyDescent="0.2">
      <c r="A3" t="s">
        <v>372</v>
      </c>
      <c r="B3" t="s">
        <v>373</v>
      </c>
    </row>
    <row r="4" spans="1:2" x14ac:dyDescent="0.2">
      <c r="A4" t="s">
        <v>374</v>
      </c>
      <c r="B4" t="s">
        <v>374</v>
      </c>
    </row>
    <row r="5" spans="1:2" x14ac:dyDescent="0.2">
      <c r="A5" t="s">
        <v>62</v>
      </c>
      <c r="B5" t="s">
        <v>63</v>
      </c>
    </row>
    <row r="6" spans="1:2" x14ac:dyDescent="0.2">
      <c r="A6" t="s">
        <v>12</v>
      </c>
      <c r="B6" t="s">
        <v>13</v>
      </c>
    </row>
    <row r="7" spans="1:2" x14ac:dyDescent="0.2">
      <c r="A7" t="s">
        <v>375</v>
      </c>
      <c r="B7" t="s">
        <v>376</v>
      </c>
    </row>
    <row r="8" spans="1:2" x14ac:dyDescent="0.2">
      <c r="A8" t="s">
        <v>377</v>
      </c>
      <c r="B8" t="s">
        <v>378</v>
      </c>
    </row>
    <row r="9" spans="1:2" x14ac:dyDescent="0.2">
      <c r="A9" t="s">
        <v>379</v>
      </c>
      <c r="B9" t="s">
        <v>380</v>
      </c>
    </row>
    <row r="10" spans="1:2" x14ac:dyDescent="0.2">
      <c r="A10" t="s">
        <v>252</v>
      </c>
      <c r="B10" t="s">
        <v>253</v>
      </c>
    </row>
    <row r="11" spans="1:2" x14ac:dyDescent="0.2">
      <c r="A11" t="s">
        <v>16</v>
      </c>
      <c r="B11" t="s">
        <v>17</v>
      </c>
    </row>
    <row r="12" spans="1:2" x14ac:dyDescent="0.2">
      <c r="A12" t="s">
        <v>346</v>
      </c>
      <c r="B12" t="s">
        <v>347</v>
      </c>
    </row>
    <row r="13" spans="1:2" x14ac:dyDescent="0.2">
      <c r="A13" t="s">
        <v>364</v>
      </c>
      <c r="B13" t="s">
        <v>365</v>
      </c>
    </row>
    <row r="14" spans="1:2" x14ac:dyDescent="0.2">
      <c r="A14" t="s">
        <v>46</v>
      </c>
      <c r="B14" t="s">
        <v>47</v>
      </c>
    </row>
    <row r="15" spans="1:2" x14ac:dyDescent="0.2">
      <c r="A15" t="s">
        <v>194</v>
      </c>
      <c r="B15" t="s">
        <v>195</v>
      </c>
    </row>
    <row r="16" spans="1:2" x14ac:dyDescent="0.2">
      <c r="A16" t="s">
        <v>236</v>
      </c>
      <c r="B16" t="s">
        <v>237</v>
      </c>
    </row>
    <row r="17" spans="1:2" x14ac:dyDescent="0.2">
      <c r="A17" t="s">
        <v>272</v>
      </c>
      <c r="B17" t="s">
        <v>273</v>
      </c>
    </row>
    <row r="18" spans="1:2" x14ac:dyDescent="0.2">
      <c r="A18" t="s">
        <v>314</v>
      </c>
      <c r="B18" t="s">
        <v>381</v>
      </c>
    </row>
    <row r="19" spans="1:2" x14ac:dyDescent="0.2">
      <c r="A19" t="s">
        <v>54</v>
      </c>
      <c r="B19" t="s">
        <v>55</v>
      </c>
    </row>
    <row r="20" spans="1:2" x14ac:dyDescent="0.2">
      <c r="A20" t="s">
        <v>226</v>
      </c>
      <c r="B20" t="s">
        <v>227</v>
      </c>
    </row>
    <row r="21" spans="1:2" x14ac:dyDescent="0.2">
      <c r="A21" t="s">
        <v>208</v>
      </c>
      <c r="B21" t="s">
        <v>209</v>
      </c>
    </row>
    <row r="22" spans="1:2" x14ac:dyDescent="0.2">
      <c r="A22" t="s">
        <v>44</v>
      </c>
      <c r="B22" t="s">
        <v>45</v>
      </c>
    </row>
    <row r="23" spans="1:2" x14ac:dyDescent="0.2">
      <c r="A23" t="s">
        <v>368</v>
      </c>
      <c r="B23" t="s">
        <v>369</v>
      </c>
    </row>
    <row r="24" spans="1:2" x14ac:dyDescent="0.2">
      <c r="A24" t="s">
        <v>238</v>
      </c>
      <c r="B24" t="s">
        <v>239</v>
      </c>
    </row>
    <row r="25" spans="1:2" x14ac:dyDescent="0.2">
      <c r="A25" t="s">
        <v>382</v>
      </c>
      <c r="B25" t="s">
        <v>383</v>
      </c>
    </row>
    <row r="26" spans="1:2" x14ac:dyDescent="0.2">
      <c r="A26" t="s">
        <v>114</v>
      </c>
      <c r="B26" t="s">
        <v>115</v>
      </c>
    </row>
    <row r="27" spans="1:2" x14ac:dyDescent="0.2">
      <c r="A27" t="s">
        <v>230</v>
      </c>
      <c r="B27" t="s">
        <v>231</v>
      </c>
    </row>
    <row r="28" spans="1:2" x14ac:dyDescent="0.2">
      <c r="A28" t="s">
        <v>358</v>
      </c>
      <c r="B28" t="s">
        <v>359</v>
      </c>
    </row>
    <row r="29" spans="1:2" x14ac:dyDescent="0.2">
      <c r="A29" t="s">
        <v>260</v>
      </c>
      <c r="B29" t="s">
        <v>261</v>
      </c>
    </row>
    <row r="30" spans="1:2" x14ac:dyDescent="0.2">
      <c r="A30" t="s">
        <v>276</v>
      </c>
      <c r="B30" t="s">
        <v>384</v>
      </c>
    </row>
    <row r="31" spans="1:2" x14ac:dyDescent="0.2">
      <c r="A31" t="s">
        <v>6</v>
      </c>
      <c r="B31" t="s">
        <v>7</v>
      </c>
    </row>
    <row r="32" spans="1:2" x14ac:dyDescent="0.2">
      <c r="A32" t="s">
        <v>366</v>
      </c>
      <c r="B32" t="s">
        <v>367</v>
      </c>
    </row>
    <row r="33" spans="1:2" x14ac:dyDescent="0.2">
      <c r="A33" t="s">
        <v>112</v>
      </c>
      <c r="B33" t="s">
        <v>113</v>
      </c>
    </row>
    <row r="34" spans="1:2" x14ac:dyDescent="0.2">
      <c r="A34" t="s">
        <v>232</v>
      </c>
      <c r="B34" t="s">
        <v>233</v>
      </c>
    </row>
    <row r="35" spans="1:2" x14ac:dyDescent="0.2">
      <c r="A35" t="s">
        <v>360</v>
      </c>
      <c r="B35" t="s">
        <v>361</v>
      </c>
    </row>
    <row r="36" spans="1:2" x14ac:dyDescent="0.2">
      <c r="A36" t="s">
        <v>70</v>
      </c>
      <c r="B36" t="s">
        <v>385</v>
      </c>
    </row>
    <row r="37" spans="1:2" x14ac:dyDescent="0.2">
      <c r="A37" t="s">
        <v>76</v>
      </c>
      <c r="B37" t="s">
        <v>77</v>
      </c>
    </row>
    <row r="38" spans="1:2" x14ac:dyDescent="0.2">
      <c r="A38" t="s">
        <v>340</v>
      </c>
      <c r="B38" t="s">
        <v>386</v>
      </c>
    </row>
    <row r="39" spans="1:2" x14ac:dyDescent="0.2">
      <c r="A39" t="s">
        <v>264</v>
      </c>
      <c r="B39" t="s">
        <v>265</v>
      </c>
    </row>
    <row r="40" spans="1:2" x14ac:dyDescent="0.2">
      <c r="A40" t="s">
        <v>294</v>
      </c>
      <c r="B40" t="s">
        <v>387</v>
      </c>
    </row>
    <row r="41" spans="1:2" x14ac:dyDescent="0.2">
      <c r="A41" t="s">
        <v>148</v>
      </c>
      <c r="B41" t="s">
        <v>149</v>
      </c>
    </row>
    <row r="42" spans="1:2" x14ac:dyDescent="0.2">
      <c r="A42" t="s">
        <v>328</v>
      </c>
      <c r="B42" t="s">
        <v>329</v>
      </c>
    </row>
    <row r="43" spans="1:2" x14ac:dyDescent="0.2">
      <c r="A43" t="s">
        <v>98</v>
      </c>
      <c r="B43" t="s">
        <v>99</v>
      </c>
    </row>
    <row r="44" spans="1:2" x14ac:dyDescent="0.2">
      <c r="A44" t="s">
        <v>72</v>
      </c>
      <c r="B44" t="s">
        <v>73</v>
      </c>
    </row>
    <row r="45" spans="1:2" x14ac:dyDescent="0.2">
      <c r="A45" t="s">
        <v>22</v>
      </c>
      <c r="B45" t="s">
        <v>23</v>
      </c>
    </row>
    <row r="46" spans="1:2" x14ac:dyDescent="0.2">
      <c r="A46" t="s">
        <v>172</v>
      </c>
      <c r="B46" t="s">
        <v>173</v>
      </c>
    </row>
    <row r="47" spans="1:2" x14ac:dyDescent="0.2">
      <c r="A47" t="s">
        <v>74</v>
      </c>
      <c r="B47" t="s">
        <v>75</v>
      </c>
    </row>
    <row r="48" spans="1:2" x14ac:dyDescent="0.2">
      <c r="A48" t="s">
        <v>116</v>
      </c>
      <c r="B48" t="s">
        <v>117</v>
      </c>
    </row>
    <row r="49" spans="1:2" x14ac:dyDescent="0.2">
      <c r="A49" t="s">
        <v>284</v>
      </c>
      <c r="B49" t="s">
        <v>285</v>
      </c>
    </row>
    <row r="50" spans="1:2" x14ac:dyDescent="0.2">
      <c r="A50" t="s">
        <v>342</v>
      </c>
      <c r="B50" t="s">
        <v>343</v>
      </c>
    </row>
    <row r="51" spans="1:2" x14ac:dyDescent="0.2">
      <c r="A51" t="s">
        <v>300</v>
      </c>
      <c r="B51" t="s">
        <v>301</v>
      </c>
    </row>
    <row r="52" spans="1:2" x14ac:dyDescent="0.2">
      <c r="A52" t="s">
        <v>304</v>
      </c>
      <c r="B52" t="s">
        <v>388</v>
      </c>
    </row>
    <row r="53" spans="1:2" x14ac:dyDescent="0.2">
      <c r="A53" t="s">
        <v>354</v>
      </c>
      <c r="B53" t="s">
        <v>355</v>
      </c>
    </row>
    <row r="54" spans="1:2" x14ac:dyDescent="0.2">
      <c r="A54" t="s">
        <v>136</v>
      </c>
      <c r="B54" t="s">
        <v>137</v>
      </c>
    </row>
    <row r="55" spans="1:2" x14ac:dyDescent="0.2">
      <c r="A55" t="s">
        <v>130</v>
      </c>
      <c r="B55" t="s">
        <v>389</v>
      </c>
    </row>
    <row r="56" spans="1:2" x14ac:dyDescent="0.2">
      <c r="A56" t="s">
        <v>234</v>
      </c>
      <c r="B56" t="s">
        <v>235</v>
      </c>
    </row>
    <row r="57" spans="1:2" x14ac:dyDescent="0.2">
      <c r="A57" t="s">
        <v>390</v>
      </c>
      <c r="B57" t="s">
        <v>391</v>
      </c>
    </row>
    <row r="58" spans="1:2" x14ac:dyDescent="0.2">
      <c r="A58" t="s">
        <v>306</v>
      </c>
      <c r="B58" t="s">
        <v>307</v>
      </c>
    </row>
    <row r="59" spans="1:2" x14ac:dyDescent="0.2">
      <c r="A59" t="s">
        <v>68</v>
      </c>
      <c r="B59" t="s">
        <v>69</v>
      </c>
    </row>
    <row r="60" spans="1:2" x14ac:dyDescent="0.2">
      <c r="A60" t="s">
        <v>56</v>
      </c>
      <c r="B60" t="s">
        <v>392</v>
      </c>
    </row>
    <row r="61" spans="1:2" x14ac:dyDescent="0.2">
      <c r="A61" t="s">
        <v>393</v>
      </c>
      <c r="B61" t="s">
        <v>394</v>
      </c>
    </row>
    <row r="62" spans="1:2" x14ac:dyDescent="0.2">
      <c r="A62" t="s">
        <v>108</v>
      </c>
      <c r="B62" t="s">
        <v>109</v>
      </c>
    </row>
    <row r="63" spans="1:2" x14ac:dyDescent="0.2">
      <c r="A63" t="s">
        <v>50</v>
      </c>
      <c r="B63" t="s">
        <v>51</v>
      </c>
    </row>
    <row r="64" spans="1:2" x14ac:dyDescent="0.2">
      <c r="A64" t="s">
        <v>186</v>
      </c>
      <c r="B64" t="s">
        <v>187</v>
      </c>
    </row>
    <row r="65" spans="1:2" x14ac:dyDescent="0.2">
      <c r="A65" t="s">
        <v>66</v>
      </c>
      <c r="B65" t="s">
        <v>395</v>
      </c>
    </row>
    <row r="66" spans="1:2" x14ac:dyDescent="0.2">
      <c r="A66" t="s">
        <v>242</v>
      </c>
      <c r="B66" t="s">
        <v>243</v>
      </c>
    </row>
    <row r="67" spans="1:2" x14ac:dyDescent="0.2">
      <c r="A67" t="s">
        <v>122</v>
      </c>
      <c r="B67" t="s">
        <v>123</v>
      </c>
    </row>
    <row r="68" spans="1:2" x14ac:dyDescent="0.2">
      <c r="A68" t="s">
        <v>262</v>
      </c>
      <c r="B68" t="s">
        <v>263</v>
      </c>
    </row>
    <row r="69" spans="1:2" x14ac:dyDescent="0.2">
      <c r="A69" t="s">
        <v>320</v>
      </c>
      <c r="B69" t="s">
        <v>321</v>
      </c>
    </row>
    <row r="70" spans="1:2" x14ac:dyDescent="0.2">
      <c r="A70" t="s">
        <v>26</v>
      </c>
      <c r="B70" t="s">
        <v>27</v>
      </c>
    </row>
    <row r="71" spans="1:2" x14ac:dyDescent="0.2">
      <c r="A71" t="s">
        <v>192</v>
      </c>
      <c r="B71" t="s">
        <v>193</v>
      </c>
    </row>
    <row r="72" spans="1:2" x14ac:dyDescent="0.2">
      <c r="A72" t="s">
        <v>322</v>
      </c>
      <c r="B72" t="s">
        <v>323</v>
      </c>
    </row>
    <row r="73" spans="1:2" x14ac:dyDescent="0.2">
      <c r="A73" t="s">
        <v>258</v>
      </c>
      <c r="B73" t="s">
        <v>259</v>
      </c>
    </row>
    <row r="74" spans="1:2" x14ac:dyDescent="0.2">
      <c r="A74" t="s">
        <v>296</v>
      </c>
      <c r="B74" t="s">
        <v>297</v>
      </c>
    </row>
    <row r="75" spans="1:2" x14ac:dyDescent="0.2">
      <c r="A75" t="s">
        <v>124</v>
      </c>
      <c r="B75" t="s">
        <v>125</v>
      </c>
    </row>
    <row r="76" spans="1:2" x14ac:dyDescent="0.2">
      <c r="A76" t="s">
        <v>318</v>
      </c>
      <c r="B76" t="s">
        <v>319</v>
      </c>
    </row>
    <row r="77" spans="1:2" x14ac:dyDescent="0.2">
      <c r="A77">
        <v>-99</v>
      </c>
      <c r="B77" t="s">
        <v>396</v>
      </c>
    </row>
    <row r="78" spans="1:2" x14ac:dyDescent="0.2">
      <c r="A78" t="s">
        <v>150</v>
      </c>
      <c r="B78" t="s">
        <v>151</v>
      </c>
    </row>
    <row r="79" spans="1:2" x14ac:dyDescent="0.2">
      <c r="A79" t="s">
        <v>80</v>
      </c>
      <c r="B79" t="s">
        <v>81</v>
      </c>
    </row>
    <row r="80" spans="1:2" x14ac:dyDescent="0.2">
      <c r="A80" t="s">
        <v>288</v>
      </c>
      <c r="B80" t="s">
        <v>289</v>
      </c>
    </row>
    <row r="81" spans="1:2" x14ac:dyDescent="0.2">
      <c r="A81" t="s">
        <v>356</v>
      </c>
      <c r="B81" t="s">
        <v>397</v>
      </c>
    </row>
    <row r="82" spans="1:2" x14ac:dyDescent="0.2">
      <c r="A82" t="s">
        <v>332</v>
      </c>
      <c r="B82" t="s">
        <v>333</v>
      </c>
    </row>
    <row r="83" spans="1:2" x14ac:dyDescent="0.2">
      <c r="A83" t="s">
        <v>216</v>
      </c>
      <c r="B83" t="s">
        <v>217</v>
      </c>
    </row>
    <row r="84" spans="1:2" x14ac:dyDescent="0.2">
      <c r="A84" t="s">
        <v>28</v>
      </c>
      <c r="B84" t="s">
        <v>29</v>
      </c>
    </row>
    <row r="85" spans="1:2" x14ac:dyDescent="0.2">
      <c r="A85" t="s">
        <v>220</v>
      </c>
      <c r="B85" t="s">
        <v>398</v>
      </c>
    </row>
    <row r="86" spans="1:2" x14ac:dyDescent="0.2">
      <c r="A86" t="s">
        <v>176</v>
      </c>
      <c r="B86" t="s">
        <v>177</v>
      </c>
    </row>
    <row r="87" spans="1:2" x14ac:dyDescent="0.2">
      <c r="A87" t="s">
        <v>244</v>
      </c>
      <c r="B87" t="s">
        <v>245</v>
      </c>
    </row>
    <row r="88" spans="1:2" x14ac:dyDescent="0.2">
      <c r="A88" t="s">
        <v>128</v>
      </c>
      <c r="B88" t="s">
        <v>129</v>
      </c>
    </row>
    <row r="89" spans="1:2" x14ac:dyDescent="0.2">
      <c r="A89" t="s">
        <v>90</v>
      </c>
      <c r="B89" t="s">
        <v>91</v>
      </c>
    </row>
    <row r="90" spans="1:2" x14ac:dyDescent="0.2">
      <c r="A90" t="s">
        <v>240</v>
      </c>
      <c r="B90" t="s">
        <v>241</v>
      </c>
    </row>
    <row r="91" spans="1:2" x14ac:dyDescent="0.2">
      <c r="A91" t="s">
        <v>290</v>
      </c>
      <c r="B91" t="s">
        <v>291</v>
      </c>
    </row>
    <row r="92" spans="1:2" x14ac:dyDescent="0.2">
      <c r="A92" t="s">
        <v>102</v>
      </c>
      <c r="B92" t="s">
        <v>103</v>
      </c>
    </row>
    <row r="93" spans="1:2" x14ac:dyDescent="0.2">
      <c r="A93" t="s">
        <v>362</v>
      </c>
      <c r="B93" t="s">
        <v>363</v>
      </c>
    </row>
    <row r="94" spans="1:2" x14ac:dyDescent="0.2">
      <c r="A94" t="s">
        <v>298</v>
      </c>
      <c r="B94" t="s">
        <v>299</v>
      </c>
    </row>
    <row r="95" spans="1:2" x14ac:dyDescent="0.2">
      <c r="A95" t="s">
        <v>140</v>
      </c>
      <c r="B95" t="s">
        <v>141</v>
      </c>
    </row>
    <row r="96" spans="1:2" x14ac:dyDescent="0.2">
      <c r="A96" t="s">
        <v>352</v>
      </c>
      <c r="B96" t="s">
        <v>399</v>
      </c>
    </row>
    <row r="97" spans="1:2" x14ac:dyDescent="0.2">
      <c r="A97" t="s">
        <v>126</v>
      </c>
      <c r="B97" t="s">
        <v>127</v>
      </c>
    </row>
    <row r="98" spans="1:2" x14ac:dyDescent="0.2">
      <c r="A98" t="s">
        <v>134</v>
      </c>
      <c r="B98" t="s">
        <v>135</v>
      </c>
    </row>
    <row r="99" spans="1:2" x14ac:dyDescent="0.2">
      <c r="A99" t="s">
        <v>182</v>
      </c>
      <c r="B99" t="s">
        <v>400</v>
      </c>
    </row>
    <row r="100" spans="1:2" x14ac:dyDescent="0.2">
      <c r="A100" t="s">
        <v>212</v>
      </c>
      <c r="B100" t="s">
        <v>213</v>
      </c>
    </row>
    <row r="101" spans="1:2" x14ac:dyDescent="0.2">
      <c r="A101" t="s">
        <v>78</v>
      </c>
      <c r="B101" t="s">
        <v>401</v>
      </c>
    </row>
    <row r="102" spans="1:2" x14ac:dyDescent="0.2">
      <c r="A102" t="s">
        <v>228</v>
      </c>
      <c r="B102" t="s">
        <v>229</v>
      </c>
    </row>
    <row r="103" spans="1:2" x14ac:dyDescent="0.2">
      <c r="A103" t="s">
        <v>42</v>
      </c>
      <c r="B103" t="s">
        <v>43</v>
      </c>
    </row>
    <row r="104" spans="1:2" x14ac:dyDescent="0.2">
      <c r="A104" t="s">
        <v>286</v>
      </c>
      <c r="B104" t="s">
        <v>287</v>
      </c>
    </row>
    <row r="105" spans="1:2" x14ac:dyDescent="0.2">
      <c r="A105" t="s">
        <v>254</v>
      </c>
      <c r="B105" t="s">
        <v>255</v>
      </c>
    </row>
    <row r="106" spans="1:2" x14ac:dyDescent="0.2">
      <c r="A106" t="s">
        <v>164</v>
      </c>
      <c r="B106" t="s">
        <v>165</v>
      </c>
    </row>
    <row r="107" spans="1:2" x14ac:dyDescent="0.2">
      <c r="A107" t="s">
        <v>402</v>
      </c>
      <c r="B107" t="s">
        <v>403</v>
      </c>
    </row>
    <row r="108" spans="1:2" x14ac:dyDescent="0.2">
      <c r="A108" t="s">
        <v>144</v>
      </c>
      <c r="B108" t="s">
        <v>145</v>
      </c>
    </row>
    <row r="109" spans="1:2" x14ac:dyDescent="0.2">
      <c r="A109" t="s">
        <v>94</v>
      </c>
      <c r="B109" t="s">
        <v>404</v>
      </c>
    </row>
    <row r="110" spans="1:2" x14ac:dyDescent="0.2">
      <c r="A110" t="s">
        <v>268</v>
      </c>
      <c r="B110" t="s">
        <v>269</v>
      </c>
    </row>
    <row r="111" spans="1:2" x14ac:dyDescent="0.2">
      <c r="A111" t="s">
        <v>64</v>
      </c>
      <c r="B111" t="s">
        <v>65</v>
      </c>
    </row>
    <row r="112" spans="1:2" x14ac:dyDescent="0.2">
      <c r="A112" t="s">
        <v>348</v>
      </c>
      <c r="B112" t="s">
        <v>405</v>
      </c>
    </row>
    <row r="113" spans="1:2" x14ac:dyDescent="0.2">
      <c r="A113" t="s">
        <v>96</v>
      </c>
      <c r="B113" t="s">
        <v>97</v>
      </c>
    </row>
    <row r="114" spans="1:2" x14ac:dyDescent="0.2">
      <c r="A114" t="s">
        <v>406</v>
      </c>
      <c r="B114" t="s">
        <v>407</v>
      </c>
    </row>
    <row r="115" spans="1:2" x14ac:dyDescent="0.2">
      <c r="A115" t="s">
        <v>188</v>
      </c>
      <c r="B115" t="s">
        <v>189</v>
      </c>
    </row>
    <row r="116" spans="1:2" x14ac:dyDescent="0.2">
      <c r="A116" t="s">
        <v>82</v>
      </c>
      <c r="B116" t="s">
        <v>83</v>
      </c>
    </row>
    <row r="117" spans="1:2" x14ac:dyDescent="0.2">
      <c r="A117" t="s">
        <v>204</v>
      </c>
      <c r="B117" t="s">
        <v>205</v>
      </c>
    </row>
    <row r="118" spans="1:2" x14ac:dyDescent="0.2">
      <c r="A118" t="s">
        <v>408</v>
      </c>
      <c r="B118" t="s">
        <v>409</v>
      </c>
    </row>
    <row r="119" spans="1:2" x14ac:dyDescent="0.2">
      <c r="A119">
        <v>-99</v>
      </c>
      <c r="B119" t="s">
        <v>410</v>
      </c>
    </row>
    <row r="120" spans="1:2" x14ac:dyDescent="0.2">
      <c r="A120" t="s">
        <v>30</v>
      </c>
      <c r="B120" t="s">
        <v>31</v>
      </c>
    </row>
    <row r="121" spans="1:2" x14ac:dyDescent="0.2">
      <c r="A121" t="s">
        <v>36</v>
      </c>
      <c r="B121" t="s">
        <v>37</v>
      </c>
    </row>
    <row r="122" spans="1:2" x14ac:dyDescent="0.2">
      <c r="A122" t="s">
        <v>100</v>
      </c>
      <c r="B122" t="s">
        <v>101</v>
      </c>
    </row>
    <row r="123" spans="1:2" x14ac:dyDescent="0.2">
      <c r="A123" t="s">
        <v>138</v>
      </c>
      <c r="B123" t="s">
        <v>139</v>
      </c>
    </row>
    <row r="124" spans="1:2" x14ac:dyDescent="0.2">
      <c r="A124" t="s">
        <v>338</v>
      </c>
      <c r="B124" t="s">
        <v>339</v>
      </c>
    </row>
    <row r="125" spans="1:2" x14ac:dyDescent="0.2">
      <c r="A125" t="s">
        <v>10</v>
      </c>
      <c r="B125" t="s">
        <v>11</v>
      </c>
    </row>
    <row r="126" spans="1:2" x14ac:dyDescent="0.2">
      <c r="A126" t="s">
        <v>256</v>
      </c>
      <c r="B126" t="s">
        <v>257</v>
      </c>
    </row>
    <row r="127" spans="1:2" x14ac:dyDescent="0.2">
      <c r="A127" t="s">
        <v>278</v>
      </c>
      <c r="B127" t="s">
        <v>279</v>
      </c>
    </row>
    <row r="128" spans="1:2" x14ac:dyDescent="0.2">
      <c r="A128" t="s">
        <v>154</v>
      </c>
      <c r="B128" t="s">
        <v>411</v>
      </c>
    </row>
    <row r="129" spans="1:2" x14ac:dyDescent="0.2">
      <c r="A129" t="s">
        <v>168</v>
      </c>
      <c r="B129" t="s">
        <v>169</v>
      </c>
    </row>
    <row r="130" spans="1:2" x14ac:dyDescent="0.2">
      <c r="A130" t="s">
        <v>250</v>
      </c>
      <c r="B130" t="s">
        <v>251</v>
      </c>
    </row>
    <row r="131" spans="1:2" x14ac:dyDescent="0.2">
      <c r="A131" t="s">
        <v>52</v>
      </c>
      <c r="B131" t="s">
        <v>53</v>
      </c>
    </row>
    <row r="132" spans="1:2" x14ac:dyDescent="0.2">
      <c r="A132" t="s">
        <v>104</v>
      </c>
      <c r="B132" t="s">
        <v>105</v>
      </c>
    </row>
    <row r="133" spans="1:2" x14ac:dyDescent="0.2">
      <c r="A133" t="s">
        <v>180</v>
      </c>
      <c r="B133" t="s">
        <v>181</v>
      </c>
    </row>
    <row r="134" spans="1:2" x14ac:dyDescent="0.2">
      <c r="A134" t="s">
        <v>166</v>
      </c>
      <c r="B134" t="s">
        <v>167</v>
      </c>
    </row>
    <row r="135" spans="1:2" x14ac:dyDescent="0.2">
      <c r="A135" t="s">
        <v>156</v>
      </c>
      <c r="B135" t="s">
        <v>157</v>
      </c>
    </row>
    <row r="136" spans="1:2" x14ac:dyDescent="0.2">
      <c r="A136" t="s">
        <v>4</v>
      </c>
      <c r="B136" t="s">
        <v>5</v>
      </c>
    </row>
    <row r="137" spans="1:2" x14ac:dyDescent="0.2">
      <c r="A137" t="s">
        <v>160</v>
      </c>
      <c r="B137" t="s">
        <v>161</v>
      </c>
    </row>
    <row r="138" spans="1:2" x14ac:dyDescent="0.2">
      <c r="A138" t="s">
        <v>334</v>
      </c>
      <c r="B138" t="s">
        <v>335</v>
      </c>
    </row>
    <row r="139" spans="1:2" x14ac:dyDescent="0.2">
      <c r="A139" t="s">
        <v>274</v>
      </c>
      <c r="B139" t="s">
        <v>412</v>
      </c>
    </row>
    <row r="140" spans="1:2" x14ac:dyDescent="0.2">
      <c r="A140" t="s">
        <v>270</v>
      </c>
      <c r="B140" t="s">
        <v>271</v>
      </c>
    </row>
    <row r="141" spans="1:2" x14ac:dyDescent="0.2">
      <c r="A141" t="s">
        <v>316</v>
      </c>
      <c r="B141" t="s">
        <v>413</v>
      </c>
    </row>
    <row r="142" spans="1:2" x14ac:dyDescent="0.2">
      <c r="A142" t="s">
        <v>184</v>
      </c>
      <c r="B142" t="s">
        <v>185</v>
      </c>
    </row>
    <row r="143" spans="1:2" x14ac:dyDescent="0.2">
      <c r="A143" t="s">
        <v>178</v>
      </c>
      <c r="B143" t="s">
        <v>414</v>
      </c>
    </row>
    <row r="144" spans="1:2" x14ac:dyDescent="0.2">
      <c r="A144" t="s">
        <v>84</v>
      </c>
      <c r="B144" t="s">
        <v>85</v>
      </c>
    </row>
    <row r="145" spans="1:2" x14ac:dyDescent="0.2">
      <c r="A145" t="s">
        <v>132</v>
      </c>
      <c r="B145" t="s">
        <v>133</v>
      </c>
    </row>
    <row r="146" spans="1:2" x14ac:dyDescent="0.2">
      <c r="A146">
        <v>-99</v>
      </c>
      <c r="B146" t="s">
        <v>415</v>
      </c>
    </row>
    <row r="147" spans="1:2" x14ac:dyDescent="0.2">
      <c r="A147">
        <v>-99</v>
      </c>
      <c r="B147" t="s">
        <v>416</v>
      </c>
    </row>
    <row r="148" spans="1:2" x14ac:dyDescent="0.2">
      <c r="A148" t="s">
        <v>326</v>
      </c>
      <c r="B148" t="s">
        <v>327</v>
      </c>
    </row>
    <row r="149" spans="1:2" x14ac:dyDescent="0.2">
      <c r="A149" t="s">
        <v>336</v>
      </c>
      <c r="B149" t="s">
        <v>337</v>
      </c>
    </row>
    <row r="150" spans="1:2" x14ac:dyDescent="0.2">
      <c r="A150" t="s">
        <v>162</v>
      </c>
      <c r="B150" t="s">
        <v>163</v>
      </c>
    </row>
    <row r="151" spans="1:2" x14ac:dyDescent="0.2">
      <c r="A151" t="s">
        <v>324</v>
      </c>
      <c r="B151" t="s">
        <v>325</v>
      </c>
    </row>
    <row r="152" spans="1:2" x14ac:dyDescent="0.2">
      <c r="A152" t="s">
        <v>350</v>
      </c>
      <c r="B152" t="s">
        <v>351</v>
      </c>
    </row>
    <row r="153" spans="1:2" x14ac:dyDescent="0.2">
      <c r="A153" t="s">
        <v>417</v>
      </c>
      <c r="B153" t="s">
        <v>418</v>
      </c>
    </row>
    <row r="154" spans="1:2" x14ac:dyDescent="0.2">
      <c r="A154" t="s">
        <v>20</v>
      </c>
      <c r="B154" t="s">
        <v>21</v>
      </c>
    </row>
    <row r="155" spans="1:2" x14ac:dyDescent="0.2">
      <c r="A155" t="s">
        <v>14</v>
      </c>
      <c r="B155" t="s">
        <v>15</v>
      </c>
    </row>
    <row r="156" spans="1:2" x14ac:dyDescent="0.2">
      <c r="A156" t="s">
        <v>174</v>
      </c>
      <c r="B156" t="s">
        <v>175</v>
      </c>
    </row>
    <row r="157" spans="1:2" x14ac:dyDescent="0.2">
      <c r="A157" t="s">
        <v>8</v>
      </c>
      <c r="B157" t="s">
        <v>9</v>
      </c>
    </row>
    <row r="158" spans="1:2" x14ac:dyDescent="0.2">
      <c r="A158" t="s">
        <v>170</v>
      </c>
      <c r="B158" t="s">
        <v>171</v>
      </c>
    </row>
    <row r="159" spans="1:2" x14ac:dyDescent="0.2">
      <c r="A159" t="s">
        <v>214</v>
      </c>
      <c r="B159" t="s">
        <v>419</v>
      </c>
    </row>
    <row r="160" spans="1:2" x14ac:dyDescent="0.2">
      <c r="A160" t="s">
        <v>32</v>
      </c>
      <c r="B160" t="s">
        <v>33</v>
      </c>
    </row>
    <row r="161" spans="1:2" x14ac:dyDescent="0.2">
      <c r="A161" t="s">
        <v>120</v>
      </c>
      <c r="B161" t="s">
        <v>121</v>
      </c>
    </row>
    <row r="162" spans="1:2" x14ac:dyDescent="0.2">
      <c r="A162" t="s">
        <v>282</v>
      </c>
      <c r="B162" t="s">
        <v>283</v>
      </c>
    </row>
    <row r="163" spans="1:2" x14ac:dyDescent="0.2">
      <c r="A163" t="s">
        <v>58</v>
      </c>
      <c r="B163" t="s">
        <v>59</v>
      </c>
    </row>
    <row r="164" spans="1:2" x14ac:dyDescent="0.2">
      <c r="A164" t="s">
        <v>224</v>
      </c>
      <c r="B164" t="s">
        <v>225</v>
      </c>
    </row>
    <row r="165" spans="1:2" x14ac:dyDescent="0.2">
      <c r="A165" t="s">
        <v>222</v>
      </c>
      <c r="B165" t="s">
        <v>223</v>
      </c>
    </row>
    <row r="166" spans="1:2" x14ac:dyDescent="0.2">
      <c r="A166">
        <v>-99</v>
      </c>
      <c r="B166" t="s">
        <v>420</v>
      </c>
    </row>
    <row r="167" spans="1:2" x14ac:dyDescent="0.2">
      <c r="A167" t="s">
        <v>38</v>
      </c>
      <c r="B167" t="s">
        <v>421</v>
      </c>
    </row>
    <row r="168" spans="1:2" x14ac:dyDescent="0.2">
      <c r="A168" t="s">
        <v>302</v>
      </c>
      <c r="B168" t="s">
        <v>303</v>
      </c>
    </row>
    <row r="169" spans="1:2" x14ac:dyDescent="0.2">
      <c r="A169" t="s">
        <v>142</v>
      </c>
      <c r="B169" t="s">
        <v>143</v>
      </c>
    </row>
    <row r="170" spans="1:2" x14ac:dyDescent="0.2">
      <c r="A170" t="s">
        <v>280</v>
      </c>
      <c r="B170" t="s">
        <v>281</v>
      </c>
    </row>
    <row r="171" spans="1:2" x14ac:dyDescent="0.2">
      <c r="A171" t="s">
        <v>344</v>
      </c>
      <c r="B171" t="s">
        <v>345</v>
      </c>
    </row>
    <row r="172" spans="1:2" x14ac:dyDescent="0.2">
      <c r="A172" t="s">
        <v>310</v>
      </c>
      <c r="B172" t="s">
        <v>311</v>
      </c>
    </row>
    <row r="173" spans="1:2" x14ac:dyDescent="0.2">
      <c r="A173" t="s">
        <v>206</v>
      </c>
      <c r="B173" t="s">
        <v>422</v>
      </c>
    </row>
    <row r="174" spans="1:2" x14ac:dyDescent="0.2">
      <c r="A174">
        <v>-99</v>
      </c>
      <c r="B174" t="s">
        <v>423</v>
      </c>
    </row>
    <row r="175" spans="1:2" x14ac:dyDescent="0.2">
      <c r="A175" t="s">
        <v>60</v>
      </c>
      <c r="B175" t="s">
        <v>61</v>
      </c>
    </row>
    <row r="176" spans="1:2" x14ac:dyDescent="0.2">
      <c r="A176" t="s">
        <v>146</v>
      </c>
      <c r="B176" t="s">
        <v>147</v>
      </c>
    </row>
    <row r="177" spans="1:2" x14ac:dyDescent="0.2">
      <c r="A177" t="s">
        <v>18</v>
      </c>
      <c r="B177" t="s">
        <v>19</v>
      </c>
    </row>
    <row r="178" spans="1:2" x14ac:dyDescent="0.2">
      <c r="A178" t="s">
        <v>88</v>
      </c>
      <c r="B178" t="s">
        <v>89</v>
      </c>
    </row>
    <row r="179" spans="1:2" x14ac:dyDescent="0.2">
      <c r="A179" t="s">
        <v>308</v>
      </c>
      <c r="B179" t="s">
        <v>309</v>
      </c>
    </row>
    <row r="180" spans="1:2" x14ac:dyDescent="0.2">
      <c r="A180" t="s">
        <v>86</v>
      </c>
      <c r="B180" t="s">
        <v>424</v>
      </c>
    </row>
    <row r="181" spans="1:2" x14ac:dyDescent="0.2">
      <c r="A181" t="s">
        <v>266</v>
      </c>
      <c r="B181" t="s">
        <v>267</v>
      </c>
    </row>
    <row r="182" spans="1:2" x14ac:dyDescent="0.2">
      <c r="A182" t="s">
        <v>24</v>
      </c>
      <c r="B182" t="s">
        <v>25</v>
      </c>
    </row>
    <row r="183" spans="1:2" x14ac:dyDescent="0.2">
      <c r="A183" t="s">
        <v>198</v>
      </c>
      <c r="B183" t="s">
        <v>199</v>
      </c>
    </row>
    <row r="184" spans="1:2" x14ac:dyDescent="0.2">
      <c r="A184" t="s">
        <v>118</v>
      </c>
      <c r="B184" t="s">
        <v>119</v>
      </c>
    </row>
    <row r="185" spans="1:2" x14ac:dyDescent="0.2">
      <c r="A185" t="s">
        <v>246</v>
      </c>
      <c r="B185" t="s">
        <v>247</v>
      </c>
    </row>
    <row r="186" spans="1:2" x14ac:dyDescent="0.2">
      <c r="A186" t="s">
        <v>152</v>
      </c>
      <c r="B186" t="s">
        <v>153</v>
      </c>
    </row>
    <row r="187" spans="1:2" x14ac:dyDescent="0.2">
      <c r="A187" t="s">
        <v>40</v>
      </c>
      <c r="B187" t="s">
        <v>41</v>
      </c>
    </row>
    <row r="188" spans="1:2" x14ac:dyDescent="0.2">
      <c r="A188" t="s">
        <v>196</v>
      </c>
      <c r="B188" t="s">
        <v>197</v>
      </c>
    </row>
    <row r="189" spans="1:2" x14ac:dyDescent="0.2">
      <c r="A189" t="s">
        <v>92</v>
      </c>
      <c r="B189" t="s">
        <v>93</v>
      </c>
    </row>
    <row r="190" spans="1:2" x14ac:dyDescent="0.2">
      <c r="A190" t="s">
        <v>312</v>
      </c>
      <c r="B190" t="s">
        <v>313</v>
      </c>
    </row>
    <row r="191" spans="1:2" x14ac:dyDescent="0.2">
      <c r="A191" t="s">
        <v>200</v>
      </c>
      <c r="B191" t="s">
        <v>201</v>
      </c>
    </row>
    <row r="192" spans="1:2" x14ac:dyDescent="0.2">
      <c r="A192" t="s">
        <v>106</v>
      </c>
      <c r="B192" t="s">
        <v>107</v>
      </c>
    </row>
    <row r="193" spans="1:2" x14ac:dyDescent="0.2">
      <c r="A193" t="s">
        <v>248</v>
      </c>
      <c r="B193" t="s">
        <v>249</v>
      </c>
    </row>
    <row r="194" spans="1:2" x14ac:dyDescent="0.2">
      <c r="A194" t="s">
        <v>425</v>
      </c>
      <c r="B194" t="s">
        <v>426</v>
      </c>
    </row>
    <row r="195" spans="1:2" x14ac:dyDescent="0.2">
      <c r="A195" t="s">
        <v>427</v>
      </c>
      <c r="B195" t="s">
        <v>428</v>
      </c>
    </row>
    <row r="196" spans="1:2" x14ac:dyDescent="0.2">
      <c r="A196" t="s">
        <v>110</v>
      </c>
      <c r="B196" t="s">
        <v>111</v>
      </c>
    </row>
    <row r="197" spans="1:2" x14ac:dyDescent="0.2">
      <c r="A197" t="s">
        <v>429</v>
      </c>
      <c r="B197" t="s">
        <v>430</v>
      </c>
    </row>
    <row r="198" spans="1:2" x14ac:dyDescent="0.2">
      <c r="A198" t="s">
        <v>158</v>
      </c>
      <c r="B198" t="s">
        <v>159</v>
      </c>
    </row>
  </sheetData>
  <autoFilter ref="A2:B198" xr:uid="{A45D7E6A-1531-DC46-89D1-4FFE6F39F5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GIVE_countries</vt:lpstr>
      <vt:lpstr>shape_file_country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Williams</dc:creator>
  <cp:lastModifiedBy>Henry Williams</cp:lastModifiedBy>
  <dcterms:created xsi:type="dcterms:W3CDTF">2026-01-15T21:39:44Z</dcterms:created>
  <dcterms:modified xsi:type="dcterms:W3CDTF">2026-01-15T22:07:45Z</dcterms:modified>
</cp:coreProperties>
</file>